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zakd\Documents\Electrical Engineering\Power Electronics\Buck_Converter\"/>
    </mc:Choice>
  </mc:AlternateContent>
  <xr:revisionPtr revIDLastSave="0" documentId="13_ncr:1_{2D790F97-E9A0-4414-B766-1C8CF864DB62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Components" sheetId="1" r:id="rId1"/>
    <sheet name="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49" i="3" l="1"/>
  <c r="AW49" i="3" s="1"/>
  <c r="AU49" i="3"/>
  <c r="AW48" i="3"/>
  <c r="AV48" i="3"/>
  <c r="AU48" i="3"/>
  <c r="AV47" i="3"/>
  <c r="AU47" i="3"/>
  <c r="AW47" i="3" s="1"/>
  <c r="AW46" i="3"/>
  <c r="AV46" i="3"/>
  <c r="AU46" i="3"/>
  <c r="AV45" i="3"/>
  <c r="AU45" i="3"/>
  <c r="AW45" i="3" s="1"/>
  <c r="AV44" i="3"/>
  <c r="AW44" i="3" s="1"/>
  <c r="AU44" i="3"/>
  <c r="AV43" i="3"/>
  <c r="AW43" i="3" s="1"/>
  <c r="AU43" i="3"/>
  <c r="AV42" i="3"/>
  <c r="AW42" i="3" s="1"/>
  <c r="AU42" i="3"/>
  <c r="AV41" i="3"/>
  <c r="AU41" i="3"/>
  <c r="AW41" i="3" s="1"/>
  <c r="AV40" i="3"/>
  <c r="AW40" i="3" s="1"/>
  <c r="AU40" i="3"/>
  <c r="AV39" i="3"/>
  <c r="AW39" i="3" s="1"/>
  <c r="AU39" i="3"/>
  <c r="AV38" i="3"/>
  <c r="AW38" i="3" s="1"/>
  <c r="AU38" i="3"/>
  <c r="AW37" i="3"/>
  <c r="AV37" i="3"/>
  <c r="AU37" i="3"/>
  <c r="AW36" i="3"/>
  <c r="AV36" i="3"/>
  <c r="AU36" i="3"/>
  <c r="AV35" i="3"/>
  <c r="AU35" i="3"/>
  <c r="AW35" i="3" s="1"/>
  <c r="AV34" i="3"/>
  <c r="AW34" i="3" s="1"/>
  <c r="AU34" i="3"/>
  <c r="AV33" i="3"/>
  <c r="AU33" i="3"/>
  <c r="AW33" i="3" s="1"/>
  <c r="AV32" i="3"/>
  <c r="AW32" i="3" s="1"/>
  <c r="AU32" i="3"/>
  <c r="AV31" i="3"/>
  <c r="AW31" i="3" s="1"/>
  <c r="AU31" i="3"/>
  <c r="AV30" i="3"/>
  <c r="AW30" i="3" s="1"/>
  <c r="AU30" i="3"/>
  <c r="AW29" i="3"/>
  <c r="AV29" i="3"/>
  <c r="AU29" i="3"/>
  <c r="AW28" i="3"/>
  <c r="AV28" i="3"/>
  <c r="AU28" i="3"/>
  <c r="AV27" i="3"/>
  <c r="AU27" i="3"/>
  <c r="AW27" i="3" s="1"/>
  <c r="AV26" i="3"/>
  <c r="AW26" i="3" s="1"/>
  <c r="AU26" i="3"/>
  <c r="AV25" i="3"/>
  <c r="AU25" i="3"/>
  <c r="AW25" i="3" s="1"/>
  <c r="AV24" i="3"/>
  <c r="AW24" i="3" s="1"/>
  <c r="AU24" i="3"/>
  <c r="AV23" i="3"/>
  <c r="AW23" i="3" s="1"/>
  <c r="AU23" i="3"/>
  <c r="AV22" i="3"/>
  <c r="AW22" i="3" s="1"/>
  <c r="AU22" i="3"/>
  <c r="AW21" i="3"/>
  <c r="AV21" i="3"/>
  <c r="AU21" i="3"/>
  <c r="AW20" i="3"/>
  <c r="AV20" i="3"/>
  <c r="AU20" i="3"/>
  <c r="AV19" i="3"/>
  <c r="AU19" i="3"/>
  <c r="AW19" i="3" s="1"/>
  <c r="AV18" i="3"/>
  <c r="AW18" i="3" s="1"/>
  <c r="AU18" i="3"/>
  <c r="AV17" i="3"/>
  <c r="AW17" i="3" s="1"/>
  <c r="AU17" i="3"/>
  <c r="AV16" i="3"/>
  <c r="AW16" i="3" s="1"/>
  <c r="AU16" i="3"/>
  <c r="AV15" i="3"/>
  <c r="AW15" i="3" s="1"/>
  <c r="AU15" i="3"/>
  <c r="AV14" i="3"/>
  <c r="AW14" i="3" s="1"/>
  <c r="AU14" i="3"/>
  <c r="AW13" i="3"/>
  <c r="AV13" i="3"/>
  <c r="AU13" i="3"/>
  <c r="AW12" i="3"/>
  <c r="AV12" i="3"/>
  <c r="AU12" i="3"/>
  <c r="AV11" i="3"/>
  <c r="AU11" i="3"/>
  <c r="AW11" i="3" s="1"/>
  <c r="AV10" i="3"/>
  <c r="AW10" i="3" s="1"/>
  <c r="AU10" i="3"/>
  <c r="AV9" i="3"/>
  <c r="AW9" i="3" s="1"/>
  <c r="AU9" i="3"/>
  <c r="AV8" i="3"/>
  <c r="AW8" i="3" s="1"/>
  <c r="AU8" i="3"/>
  <c r="AV7" i="3"/>
  <c r="AW7" i="3" s="1"/>
  <c r="AU7" i="3"/>
  <c r="AV6" i="3"/>
  <c r="AW6" i="3" s="1"/>
  <c r="AU6" i="3"/>
  <c r="AW5" i="3"/>
  <c r="AV5" i="3"/>
  <c r="AU5" i="3"/>
  <c r="AW4" i="3"/>
  <c r="AV4" i="3"/>
  <c r="AU4" i="3"/>
  <c r="AV3" i="3"/>
  <c r="AU3" i="3"/>
  <c r="AW3" i="3" s="1"/>
  <c r="AV2" i="3"/>
  <c r="AW2" i="3" s="1"/>
  <c r="AU2" i="3"/>
</calcChain>
</file>

<file path=xl/sharedStrings.xml><?xml version="1.0" encoding="utf-8"?>
<sst xmlns="http://schemas.openxmlformats.org/spreadsheetml/2006/main" count="113" uniqueCount="106">
  <si>
    <t>Components</t>
  </si>
  <si>
    <t>Value</t>
  </si>
  <si>
    <t>MOSFET</t>
  </si>
  <si>
    <t xml:space="preserve">Capacitor </t>
  </si>
  <si>
    <t>E4M0013120K Data Sheet, 900 V, Discrete SiC MOSFET | Wolfspeed</t>
  </si>
  <si>
    <t>E4M0013120K</t>
  </si>
  <si>
    <t>Distributor Part Number</t>
  </si>
  <si>
    <t>Manufacture Part Number</t>
  </si>
  <si>
    <t>1200V N Channel</t>
  </si>
  <si>
    <t>1697-E4M0013120K-ND</t>
  </si>
  <si>
    <t>UAL25-0R1F8</t>
  </si>
  <si>
    <t>696-1495-ND</t>
  </si>
  <si>
    <t>UAL Series Riedon™Aluminum Housed Power Wirewound Resistors by Bourns</t>
  </si>
  <si>
    <t>KTD250B477M99A0B00</t>
  </si>
  <si>
    <t>470uF</t>
  </si>
  <si>
    <t>565-KTD250B477M99A0B00-ND</t>
  </si>
  <si>
    <t>KTD250B477M99A0B00 Chemi-Con | Capacitors | DigiKey</t>
  </si>
  <si>
    <t>160mV Vf</t>
  </si>
  <si>
    <t>SPV1520N STMicroelectronics | Discrete Semiconductor Products | DigiKey</t>
  </si>
  <si>
    <t>SPV1520N</t>
  </si>
  <si>
    <t>SPV1520N-ND</t>
  </si>
  <si>
    <t>IR2101STRPBF</t>
  </si>
  <si>
    <t>IR2101SPBFTR-ND</t>
  </si>
  <si>
    <t>IR2101STRPBF Infineon Technologies | Integrated Circuits (ICs) | DigiKey</t>
  </si>
  <si>
    <t>Gate Driver</t>
  </si>
  <si>
    <t>0.1 Ohm</t>
  </si>
  <si>
    <t>Sync Buck</t>
  </si>
  <si>
    <t>Vg</t>
  </si>
  <si>
    <t>SOC</t>
  </si>
  <si>
    <t>Pload</t>
  </si>
  <si>
    <t>Ibat_avg</t>
  </si>
  <si>
    <t>Vbat_avg</t>
  </si>
  <si>
    <t>Idel_avg</t>
  </si>
  <si>
    <t>Vdel_avg</t>
  </si>
  <si>
    <t>Ichg_avg</t>
  </si>
  <si>
    <t>Vchg_avg</t>
  </si>
  <si>
    <t>Ipass_avg</t>
  </si>
  <si>
    <t>Vpass_avg</t>
  </si>
  <si>
    <t>Icap1_avg</t>
  </si>
  <si>
    <t>Vcap1_avg</t>
  </si>
  <si>
    <t>Icap2_avg</t>
  </si>
  <si>
    <t>Vcap2_avg</t>
  </si>
  <si>
    <t>Iind1_avg</t>
  </si>
  <si>
    <t>Vind1_avg</t>
  </si>
  <si>
    <t>Iind2_avg</t>
  </si>
  <si>
    <t>Vind2_avg</t>
  </si>
  <si>
    <t>Ifet1_avg</t>
  </si>
  <si>
    <t>Vfet1_avg</t>
  </si>
  <si>
    <t>Ifet2_avg</t>
  </si>
  <si>
    <t>Vfet2_avg</t>
  </si>
  <si>
    <t>Ifet3_avg</t>
  </si>
  <si>
    <t>Vfet3_avg</t>
  </si>
  <si>
    <t>Ifet4_avg</t>
  </si>
  <si>
    <t>Vfet4_avg</t>
  </si>
  <si>
    <t>Ir1_avg</t>
  </si>
  <si>
    <t>Vr1_avg</t>
  </si>
  <si>
    <t>Ir2_avg</t>
  </si>
  <si>
    <t>Vr2_avg</t>
  </si>
  <si>
    <t>P_chg</t>
  </si>
  <si>
    <t>P_del</t>
  </si>
  <si>
    <t>P_pass</t>
  </si>
  <si>
    <t>Pcap1</t>
  </si>
  <si>
    <t>Pcap2</t>
  </si>
  <si>
    <t>Pind1</t>
  </si>
  <si>
    <t>Pind2</t>
  </si>
  <si>
    <t>Pfet1</t>
  </si>
  <si>
    <t>Pfet2</t>
  </si>
  <si>
    <t>Pfet3</t>
  </si>
  <si>
    <t>Pfet4</t>
  </si>
  <si>
    <t>Pr1</t>
  </si>
  <si>
    <t>Pr2</t>
  </si>
  <si>
    <t>Iin</t>
  </si>
  <si>
    <t>PLoss</t>
  </si>
  <si>
    <t>PIn</t>
  </si>
  <si>
    <t>Efficiency</t>
  </si>
  <si>
    <t>Charge Diode</t>
  </si>
  <si>
    <t>470mV Vf</t>
  </si>
  <si>
    <t>SBRT15U50SP5-13D</t>
  </si>
  <si>
    <t>SBRT15U50SP5-13DDITR-ND</t>
  </si>
  <si>
    <t>SBRT15U50SP5-13D Diodes Incorporated | Discrete Semiconductor Products | DigiKey</t>
  </si>
  <si>
    <t>Power Delivery Diode</t>
  </si>
  <si>
    <t>Quantity</t>
  </si>
  <si>
    <t>x2</t>
  </si>
  <si>
    <t>Power Resistor</t>
  </si>
  <si>
    <t>x1</t>
  </si>
  <si>
    <t>x4</t>
  </si>
  <si>
    <t>Stage 1 Inductor</t>
  </si>
  <si>
    <t>Stage 2 Inductor</t>
  </si>
  <si>
    <t>12uH</t>
  </si>
  <si>
    <t>270uH</t>
  </si>
  <si>
    <t>RL-1256-8-270</t>
  </si>
  <si>
    <t>5594-RL-1256-8-270-ND</t>
  </si>
  <si>
    <t>CPEX3222S-120MC</t>
  </si>
  <si>
    <t>4044-CPEX3222S-120MC-ND</t>
  </si>
  <si>
    <t>RL-1256-8-270 Renco Electronics, Inc. | Inductors, Coils, Chokes | DigiKey</t>
  </si>
  <si>
    <t>CPEX3222S-120MC CODACA | Inductors, Coils, Chokes | DigiKey</t>
  </si>
  <si>
    <t>IC voltage regulator</t>
  </si>
  <si>
    <t>3.3V out</t>
  </si>
  <si>
    <t>BA3259HFP-TR</t>
  </si>
  <si>
    <t>BA3259HFPTR-ND</t>
  </si>
  <si>
    <t>BA3259HFP-TR Rohm Semiconductor | Integrated Circuits (ICs) | DigiKey</t>
  </si>
  <si>
    <t>Microcontroller</t>
  </si>
  <si>
    <t>PWM signal controller</t>
  </si>
  <si>
    <t>DSPIC33CK256MP503-I/M5</t>
  </si>
  <si>
    <t>DSPIC33CK256MP503-I/M5-ND</t>
  </si>
  <si>
    <t>DSPIC33CK256MP503-I/M5 Microchip Technology | Integrated Circuits (ICs) | 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</si>
</sst>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5" fillId="3" borderId="3" applyNumberFormat="0" applyAlignment="0" applyProtection="0"/>
  </cellStyleXfs>
  <cellXfs count="15">
    <xf numFmtId="0" fontId="0" fillId="0" borderId="0" xfId="0"/>
    <xf numFmtId="0" fontId="1" fillId="0" borderId="1" xfId="1"/>
    <xf numFmtId="0" fontId="2" fillId="0" borderId="0" xfId="2"/>
    <xf numFmtId="0" fontId="1" fillId="0" borderId="1" xfId="1" applyAlignment="1">
      <alignment horizontal="center"/>
    </xf>
    <xf numFmtId="0" fontId="0" fillId="0" borderId="0" xfId="0" applyAlignment="1">
      <alignment horizontal="center"/>
    </xf>
    <xf numFmtId="0" fontId="4" fillId="2" borderId="3" xfId="4"/>
    <xf numFmtId="0" fontId="0" fillId="0" borderId="0" xfId="0" applyAlignment="1">
      <alignment wrapText="1"/>
    </xf>
    <xf numFmtId="10" fontId="4" fillId="2" borderId="3" xfId="4" applyNumberFormat="1"/>
    <xf numFmtId="0" fontId="3" fillId="0" borderId="4" xfId="3" applyFill="1" applyBorder="1"/>
    <xf numFmtId="10" fontId="3" fillId="0" borderId="4" xfId="3" applyNumberFormat="1" applyFill="1" applyBorder="1"/>
    <xf numFmtId="0" fontId="4" fillId="0" borderId="4" xfId="4" applyFill="1" applyBorder="1"/>
    <xf numFmtId="0" fontId="0" fillId="0" borderId="4" xfId="0" applyFill="1" applyBorder="1"/>
    <xf numFmtId="0" fontId="5" fillId="0" borderId="4" xfId="5" applyFill="1" applyBorder="1"/>
    <xf numFmtId="10" fontId="5" fillId="0" borderId="4" xfId="5" applyNumberFormat="1" applyFill="1" applyBorder="1"/>
    <xf numFmtId="10" fontId="4" fillId="0" borderId="4" xfId="4" applyNumberFormat="1" applyFill="1" applyBorder="1"/>
  </cellXfs>
  <cellStyles count="6">
    <cellStyle name="Calculation" xfId="5" builtinId="22"/>
    <cellStyle name="Heading 1" xfId="3" builtinId="16"/>
    <cellStyle name="Heading 2" xfId="1" builtinId="17"/>
    <cellStyle name="Hyperlink" xfId="2" builtinId="8"/>
    <cellStyle name="Input" xfId="4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renco-electronics-inc/RL-1256-8-270/22599255" TargetMode="External"/><Relationship Id="rId2" Type="http://schemas.openxmlformats.org/officeDocument/2006/relationships/hyperlink" Target="https://www.digikey.com/en/products/detail/diodes-incorporated/SBRT15U50SP5-13D/5306195" TargetMode="External"/><Relationship Id="rId1" Type="http://schemas.openxmlformats.org/officeDocument/2006/relationships/hyperlink" Target="https://www.digikey.com/en/products/detail/infineon-technologies/IR2101STRPBF/812672" TargetMode="External"/><Relationship Id="rId6" Type="http://schemas.openxmlformats.org/officeDocument/2006/relationships/hyperlink" Target="https://www.digikey.com/en/products/detail/microchip-technology/DSPIC33CK256MP503-I-M5/9342174?s=N4IgTCBcDaICIGUAKBJAwgZg2g0mArAGwCyS%2BADBgLQoD0x%2BIAugL5A" TargetMode="External"/><Relationship Id="rId5" Type="http://schemas.openxmlformats.org/officeDocument/2006/relationships/hyperlink" Target="https://www.digikey.com/en/products/detail/rohm-semiconductor/BA3259HFP-TR/2673685?s=N4IgjCBcoKwOwGYqgMZQGYEMA2BnApgDQgD2UA2iAJxwAsADEgLrEAOALlCAMrsBOASwB2AcxABfYmFoAmKshBpIWPEVIVwdMGBggWIDl16DREySBkaAbiWztMI-AAI%2B%2BEQFdsmdiT57xQA" TargetMode="External"/><Relationship Id="rId4" Type="http://schemas.openxmlformats.org/officeDocument/2006/relationships/hyperlink" Target="https://www.digikey.com/en/products/detail/codaca/CPEX3222S-120MC/25552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activeCell="F19" sqref="F19"/>
    </sheetView>
  </sheetViews>
  <sheetFormatPr defaultRowHeight="14.5" x14ac:dyDescent="0.35"/>
  <cols>
    <col min="1" max="1" width="18.81640625" bestFit="1" customWidth="1"/>
    <col min="2" max="2" width="9.6328125" bestFit="1" customWidth="1"/>
    <col min="3" max="3" width="19.26953125" style="4" bestFit="1" customWidth="1"/>
    <col min="4" max="4" width="27.36328125" style="4" bestFit="1" customWidth="1"/>
    <col min="5" max="5" width="27.36328125" bestFit="1" customWidth="1"/>
    <col min="6" max="6" width="72.90625" bestFit="1" customWidth="1"/>
    <col min="7" max="7" width="25.7265625" customWidth="1"/>
  </cols>
  <sheetData>
    <row r="1" spans="1:7" ht="17.5" thickBot="1" x14ac:dyDescent="0.45">
      <c r="A1" s="1" t="s">
        <v>0</v>
      </c>
      <c r="B1" s="1" t="s">
        <v>81</v>
      </c>
      <c r="C1" s="3" t="s">
        <v>1</v>
      </c>
      <c r="D1" s="3" t="s">
        <v>7</v>
      </c>
      <c r="E1" s="1" t="s">
        <v>6</v>
      </c>
    </row>
    <row r="2" spans="1:7" ht="15" thickTop="1" x14ac:dyDescent="0.35">
      <c r="A2" t="s">
        <v>3</v>
      </c>
      <c r="B2" t="s">
        <v>82</v>
      </c>
      <c r="C2" s="4" t="s">
        <v>14</v>
      </c>
      <c r="D2" s="4" t="s">
        <v>13</v>
      </c>
      <c r="E2" t="s">
        <v>15</v>
      </c>
      <c r="F2" s="2" t="s">
        <v>16</v>
      </c>
    </row>
    <row r="3" spans="1:7" x14ac:dyDescent="0.35">
      <c r="A3" t="s">
        <v>86</v>
      </c>
      <c r="B3" t="s">
        <v>84</v>
      </c>
      <c r="C3" s="4" t="s">
        <v>89</v>
      </c>
      <c r="D3" s="4" t="s">
        <v>90</v>
      </c>
      <c r="E3" t="s">
        <v>91</v>
      </c>
      <c r="F3" s="2" t="s">
        <v>94</v>
      </c>
    </row>
    <row r="4" spans="1:7" x14ac:dyDescent="0.35">
      <c r="A4" t="s">
        <v>87</v>
      </c>
      <c r="B4" t="s">
        <v>84</v>
      </c>
      <c r="C4" s="4" t="s">
        <v>88</v>
      </c>
      <c r="D4" s="4" t="s">
        <v>92</v>
      </c>
      <c r="E4" t="s">
        <v>93</v>
      </c>
      <c r="F4" s="2" t="s">
        <v>95</v>
      </c>
    </row>
    <row r="5" spans="1:7" x14ac:dyDescent="0.35">
      <c r="A5" t="s">
        <v>2</v>
      </c>
      <c r="B5" t="s">
        <v>85</v>
      </c>
      <c r="C5" s="4" t="s">
        <v>8</v>
      </c>
      <c r="D5" s="4" t="s">
        <v>5</v>
      </c>
      <c r="E5" t="s">
        <v>9</v>
      </c>
      <c r="F5" s="2" t="s">
        <v>4</v>
      </c>
      <c r="G5" s="6"/>
    </row>
    <row r="6" spans="1:7" x14ac:dyDescent="0.35">
      <c r="A6" t="s">
        <v>83</v>
      </c>
      <c r="B6" t="s">
        <v>82</v>
      </c>
      <c r="C6" s="4" t="s">
        <v>25</v>
      </c>
      <c r="D6" s="4" t="s">
        <v>10</v>
      </c>
      <c r="E6" t="s">
        <v>11</v>
      </c>
      <c r="F6" s="2" t="s">
        <v>12</v>
      </c>
    </row>
    <row r="7" spans="1:7" x14ac:dyDescent="0.35">
      <c r="A7" t="s">
        <v>80</v>
      </c>
      <c r="B7" t="s">
        <v>82</v>
      </c>
      <c r="C7" s="4" t="s">
        <v>17</v>
      </c>
      <c r="D7" s="4" t="s">
        <v>19</v>
      </c>
      <c r="E7" t="s">
        <v>20</v>
      </c>
      <c r="F7" s="2" t="s">
        <v>18</v>
      </c>
    </row>
    <row r="8" spans="1:7" x14ac:dyDescent="0.35">
      <c r="A8" t="s">
        <v>75</v>
      </c>
      <c r="B8" t="s">
        <v>84</v>
      </c>
      <c r="C8" s="4" t="s">
        <v>76</v>
      </c>
      <c r="D8" s="4" t="s">
        <v>77</v>
      </c>
      <c r="E8" t="s">
        <v>78</v>
      </c>
      <c r="F8" s="2" t="s">
        <v>79</v>
      </c>
    </row>
    <row r="9" spans="1:7" x14ac:dyDescent="0.35">
      <c r="A9" t="s">
        <v>24</v>
      </c>
      <c r="B9" t="s">
        <v>82</v>
      </c>
      <c r="C9" s="4" t="s">
        <v>26</v>
      </c>
      <c r="D9" s="4" t="s">
        <v>21</v>
      </c>
      <c r="E9" t="s">
        <v>22</v>
      </c>
      <c r="F9" s="2" t="s">
        <v>23</v>
      </c>
    </row>
    <row r="10" spans="1:7" x14ac:dyDescent="0.35">
      <c r="A10" t="s">
        <v>96</v>
      </c>
      <c r="B10" t="s">
        <v>84</v>
      </c>
      <c r="C10" s="4" t="s">
        <v>97</v>
      </c>
      <c r="D10" s="4" t="s">
        <v>98</v>
      </c>
      <c r="E10" t="s">
        <v>99</v>
      </c>
      <c r="F10" s="2" t="s">
        <v>100</v>
      </c>
    </row>
    <row r="11" spans="1:7" x14ac:dyDescent="0.35">
      <c r="A11" t="s">
        <v>101</v>
      </c>
      <c r="B11" t="s">
        <v>84</v>
      </c>
      <c r="C11" s="4" t="s">
        <v>102</v>
      </c>
      <c r="D11" s="4" t="s">
        <v>103</v>
      </c>
      <c r="E11" t="s">
        <v>104</v>
      </c>
      <c r="F11" s="2" t="s">
        <v>105</v>
      </c>
    </row>
    <row r="12" spans="1:7" x14ac:dyDescent="0.35">
      <c r="F12" s="2"/>
    </row>
    <row r="16" spans="1:7" x14ac:dyDescent="0.35">
      <c r="F16" s="2"/>
    </row>
    <row r="17" spans="6:6" x14ac:dyDescent="0.35">
      <c r="F17" s="2"/>
    </row>
    <row r="18" spans="6:6" x14ac:dyDescent="0.35">
      <c r="F18" s="2"/>
    </row>
    <row r="19" spans="6:6" x14ac:dyDescent="0.35">
      <c r="F19" s="2"/>
    </row>
  </sheetData>
  <hyperlinks>
    <hyperlink ref="F5" r:id="rId1" display="https://www.digikey.com/en/products/detail/infineon-technologies/IR2101STRPBF/812672" xr:uid="{8B47A48C-EE52-4AE9-8C2F-664F9BF4628C}"/>
    <hyperlink ref="F2" r:id="rId2" display="https://www.digikey.com/en/products/detail/diodes-incorporated/SBRT15U50SP5-13D/5306195" xr:uid="{9BD00F6D-E1AC-4B5E-9DB1-BB8E3E6CE120}"/>
    <hyperlink ref="F3" r:id="rId3" display="https://www.digikey.com/en/products/detail/renco-electronics-inc/RL-1256-8-270/22599255" xr:uid="{9B09374F-5F7D-4FED-B452-A27B547CA200}"/>
    <hyperlink ref="F4" r:id="rId4" display="https://www.digikey.com/en/products/detail/codaca/CPEX3222S-120MC/25552200" xr:uid="{D367ACFA-B872-4B7D-B21A-71982CD73256}"/>
    <hyperlink ref="F10" r:id="rId5" display="https://www.digikey.com/en/products/detail/rohm-semiconductor/BA3259HFP-TR/2673685?s=N4IgjCBcoKwOwGYqgMZQGYEMA2BnApgDQgD2UA2iAJxwAsADEgLrEAOALlCAMrsBOASwB2AcxABfYmFoAmKshBpIWPEVIVwdMGBggWIDl16DREySBkaAbiWztMI-AAI%2B%2BEQFdsmdiT57xQA" xr:uid="{F9E5BB7C-8CD4-4866-88E2-960282A88B61}"/>
    <hyperlink ref="F11" r:id="rId6" display="https://www.digikey.com/en/products/detail/microchip-technology/DSPIC33CK256MP503-I-M5/9342174?s=N4IgTCBcDaICIGUAKBJAwgZg2g0mArAGwCyS%2BADBgLQoD0x%2BIAugL5A" xr:uid="{013B2F36-020D-4513-8113-677F257E1B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7768-C099-4C45-9B39-7C195CCD2E60}">
  <dimension ref="A1:AW64"/>
  <sheetViews>
    <sheetView zoomScaleNormal="100" workbookViewId="0">
      <selection activeCell="AJ52" sqref="AJ52"/>
    </sheetView>
  </sheetViews>
  <sheetFormatPr defaultRowHeight="14.5" x14ac:dyDescent="0.35"/>
  <cols>
    <col min="1" max="1" width="4" style="10" bestFit="1" customWidth="1"/>
    <col min="2" max="2" width="5.6328125" style="10" bestFit="1" customWidth="1"/>
    <col min="3" max="3" width="7.453125" style="10" bestFit="1" customWidth="1"/>
    <col min="4" max="4" width="14.08984375" style="10" bestFit="1" customWidth="1"/>
    <col min="5" max="5" width="11.7265625" style="10" bestFit="1" customWidth="1"/>
    <col min="6" max="8" width="11.453125" style="10" bestFit="1" customWidth="1"/>
    <col min="9" max="9" width="12.453125" style="10" bestFit="1" customWidth="1"/>
    <col min="10" max="10" width="12.08984375" style="10" bestFit="1" customWidth="1"/>
    <col min="11" max="11" width="13" style="10" bestFit="1" customWidth="1"/>
    <col min="12" max="12" width="13.08984375" style="10" bestFit="1" customWidth="1"/>
    <col min="13" max="13" width="13.36328125" style="10" bestFit="1" customWidth="1"/>
    <col min="14" max="14" width="12.453125" style="10" customWidth="1"/>
    <col min="15" max="15" width="13.36328125" style="10" bestFit="1" customWidth="1"/>
    <col min="16" max="16" width="12" style="10" bestFit="1" customWidth="1"/>
    <col min="17" max="17" width="12.90625" style="10" bestFit="1" customWidth="1"/>
    <col min="18" max="18" width="12" style="10" bestFit="1" customWidth="1"/>
    <col min="19" max="19" width="12.90625" style="10" bestFit="1" customWidth="1"/>
    <col min="20" max="20" width="12.453125" style="10" bestFit="1" customWidth="1"/>
    <col min="21" max="21" width="12.54296875" style="10" bestFit="1" customWidth="1"/>
    <col min="22" max="22" width="13.08984375" style="10" bestFit="1" customWidth="1"/>
    <col min="23" max="23" width="12.54296875" style="10" bestFit="1" customWidth="1"/>
    <col min="24" max="24" width="11.6328125" style="10" bestFit="1" customWidth="1"/>
    <col min="25" max="25" width="12.54296875" style="10" bestFit="1" customWidth="1"/>
    <col min="26" max="26" width="12.08984375" style="10" bestFit="1" customWidth="1"/>
    <col min="27" max="27" width="12.54296875" style="10" bestFit="1" customWidth="1"/>
    <col min="28" max="28" width="11.453125" style="10" bestFit="1" customWidth="1"/>
    <col min="29" max="29" width="12.453125" style="10" bestFit="1" customWidth="1"/>
    <col min="30" max="30" width="11.453125" style="10" customWidth="1"/>
    <col min="31" max="31" width="12.453125" style="10" bestFit="1" customWidth="1"/>
    <col min="32" max="34" width="11.453125" style="10" bestFit="1" customWidth="1"/>
    <col min="35" max="37" width="13.453125" style="10" bestFit="1" customWidth="1"/>
    <col min="38" max="38" width="12.453125" style="10" bestFit="1" customWidth="1"/>
    <col min="39" max="40" width="14.453125" style="10" bestFit="1" customWidth="1"/>
    <col min="41" max="41" width="13.453125" style="10" bestFit="1" customWidth="1"/>
    <col min="42" max="42" width="12.453125" style="10" bestFit="1" customWidth="1"/>
    <col min="43" max="44" width="11.453125" style="10" bestFit="1" customWidth="1"/>
    <col min="45" max="45" width="12.453125" style="10" bestFit="1" customWidth="1"/>
    <col min="46" max="46" width="9.08984375" style="11" customWidth="1"/>
    <col min="47" max="48" width="12.08984375" style="12" bestFit="1" customWidth="1"/>
    <col min="49" max="49" width="12.08984375" style="13" bestFit="1" customWidth="1"/>
    <col min="50" max="50" width="9.08984375" style="11" customWidth="1"/>
    <col min="51" max="51" width="9.81640625" style="11" customWidth="1"/>
    <col min="52" max="52" width="7" style="11" customWidth="1"/>
    <col min="53" max="53" width="7.7265625" style="11" customWidth="1"/>
    <col min="54" max="54" width="7.54296875" style="11" customWidth="1"/>
    <col min="55" max="55" width="8.26953125" style="11" customWidth="1"/>
    <col min="56" max="56" width="7" style="11" customWidth="1"/>
    <col min="57" max="57" width="7.7265625" style="11" customWidth="1"/>
    <col min="58" max="58" width="7.54296875" style="11" customWidth="1"/>
    <col min="59" max="59" width="8.26953125" style="11" customWidth="1"/>
    <col min="60" max="63" width="11.453125" style="11" customWidth="1"/>
    <col min="64" max="64" width="12.08984375" style="11" customWidth="1"/>
    <col min="65" max="75" width="11.453125" style="11" customWidth="1"/>
    <col min="76" max="16384" width="8.7265625" style="11"/>
  </cols>
  <sheetData>
    <row r="1" spans="1:49" s="8" customFormat="1" ht="19.5" x14ac:dyDescent="0.4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  <c r="W1" s="5" t="s">
        <v>49</v>
      </c>
      <c r="X1" s="5" t="s">
        <v>50</v>
      </c>
      <c r="Y1" s="5" t="s">
        <v>51</v>
      </c>
      <c r="Z1" s="5" t="s">
        <v>52</v>
      </c>
      <c r="AA1" s="5" t="s">
        <v>53</v>
      </c>
      <c r="AB1" s="5" t="s">
        <v>54</v>
      </c>
      <c r="AC1" s="5" t="s">
        <v>55</v>
      </c>
      <c r="AD1" s="5" t="s">
        <v>56</v>
      </c>
      <c r="AE1" s="5" t="s">
        <v>57</v>
      </c>
      <c r="AF1" s="5" t="s">
        <v>58</v>
      </c>
      <c r="AG1" s="5" t="s">
        <v>59</v>
      </c>
      <c r="AH1" s="5" t="s">
        <v>60</v>
      </c>
      <c r="AI1" s="5" t="s">
        <v>61</v>
      </c>
      <c r="AJ1" s="5" t="s">
        <v>62</v>
      </c>
      <c r="AK1" s="5" t="s">
        <v>63</v>
      </c>
      <c r="AL1" s="5" t="s">
        <v>64</v>
      </c>
      <c r="AM1" s="5" t="s">
        <v>65</v>
      </c>
      <c r="AN1" s="5" t="s">
        <v>66</v>
      </c>
      <c r="AO1" s="5" t="s">
        <v>67</v>
      </c>
      <c r="AP1" s="5" t="s">
        <v>68</v>
      </c>
      <c r="AQ1" s="5" t="s">
        <v>69</v>
      </c>
      <c r="AR1" s="5" t="s">
        <v>70</v>
      </c>
      <c r="AS1" s="5" t="s">
        <v>71</v>
      </c>
      <c r="AU1" s="8" t="s">
        <v>72</v>
      </c>
      <c r="AV1" s="8" t="s">
        <v>73</v>
      </c>
      <c r="AW1" s="9" t="s">
        <v>74</v>
      </c>
    </row>
    <row r="2" spans="1:49" x14ac:dyDescent="0.35">
      <c r="A2" s="5">
        <v>420</v>
      </c>
      <c r="B2" s="5">
        <v>100</v>
      </c>
      <c r="C2" s="5">
        <v>500</v>
      </c>
      <c r="D2" s="5">
        <v>8.6418464303233034</v>
      </c>
      <c r="E2" s="5">
        <v>13.003330558640361</v>
      </c>
      <c r="F2" s="5">
        <v>13.530391685586064</v>
      </c>
      <c r="G2" s="5">
        <v>3.9532023066926008</v>
      </c>
      <c r="H2" s="5">
        <v>4.8885008272446671</v>
      </c>
      <c r="I2" s="5">
        <v>0.44336021479725324</v>
      </c>
      <c r="J2" s="5">
        <v>12.439873119994539</v>
      </c>
      <c r="K2" s="5">
        <v>3.6414218156389726</v>
      </c>
      <c r="L2" s="5">
        <v>-1.2228798408897827</v>
      </c>
      <c r="M2" s="5">
        <v>79.637943752559394</v>
      </c>
      <c r="N2" s="5">
        <v>0.99215029849266168</v>
      </c>
      <c r="O2" s="5">
        <v>13.935542827523868</v>
      </c>
      <c r="P2" s="5">
        <v>3.5356459251383097</v>
      </c>
      <c r="Q2" s="5">
        <v>99.552768208961652</v>
      </c>
      <c r="R2" s="5">
        <v>18.320598438726513</v>
      </c>
      <c r="S2" s="5">
        <v>6.320171050408832</v>
      </c>
      <c r="T2" s="5">
        <v>1.5274245978112868</v>
      </c>
      <c r="U2" s="5">
        <v>240.80928803847894</v>
      </c>
      <c r="V2" s="5">
        <v>-2.0076051415662532</v>
      </c>
      <c r="W2" s="5">
        <v>179.19071196152106</v>
      </c>
      <c r="X2" s="5">
        <v>4.7579319437293455</v>
      </c>
      <c r="Y2" s="5">
        <v>59.382229874626702</v>
      </c>
      <c r="Z2" s="5">
        <v>-13.562275229837196</v>
      </c>
      <c r="AA2" s="5">
        <v>20.255713877932678</v>
      </c>
      <c r="AB2" s="5">
        <v>4.8885205408625163</v>
      </c>
      <c r="AC2" s="5">
        <v>0.48885205408625243</v>
      </c>
      <c r="AD2" s="5">
        <v>12.439927599371336</v>
      </c>
      <c r="AE2" s="5">
        <v>1.2439927599371334</v>
      </c>
      <c r="AF2" s="5">
        <v>6.4523088912523852</v>
      </c>
      <c r="AG2" s="5">
        <v>49.429304774651662</v>
      </c>
      <c r="AH2" s="5">
        <v>41.782619675221923</v>
      </c>
      <c r="AI2" s="5">
        <v>7.4771755262731027E-2</v>
      </c>
      <c r="AJ2" s="5">
        <v>4.9218110739953885E-2</v>
      </c>
      <c r="AK2" s="5">
        <v>0.17501108951125988</v>
      </c>
      <c r="AL2" s="5">
        <v>0.6981402004783821</v>
      </c>
      <c r="AM2" s="5">
        <v>7.554560063615717E-3</v>
      </c>
      <c r="AN2" s="5">
        <v>5.5467059946861949E-2</v>
      </c>
      <c r="AO2" s="5">
        <v>6.7347801233951315E-2</v>
      </c>
      <c r="AP2" s="5">
        <v>2.5796927144732242</v>
      </c>
      <c r="AQ2" s="5">
        <v>2.389763307843475</v>
      </c>
      <c r="AR2" s="5">
        <v>15.475179867760069</v>
      </c>
      <c r="AS2" s="5">
        <v>1.5298326906916717</v>
      </c>
      <c r="AU2" s="12">
        <f>AF2+AG2+AH2+AI2+AJ2+AK2+AL2+AM2+AN2+AO2+AP2+AQ2+AR2</f>
        <v>119.23637980843949</v>
      </c>
      <c r="AV2" s="12">
        <f>A2*AS2</f>
        <v>642.52973009050208</v>
      </c>
      <c r="AW2" s="13">
        <f>(AV2-AU2)/AV2</f>
        <v>0.81442667284571457</v>
      </c>
    </row>
    <row r="3" spans="1:49" x14ac:dyDescent="0.35">
      <c r="A3" s="5">
        <v>420</v>
      </c>
      <c r="B3" s="5">
        <v>100</v>
      </c>
      <c r="C3" s="5">
        <v>400</v>
      </c>
      <c r="D3" s="5">
        <v>6.7509845520326408</v>
      </c>
      <c r="E3" s="5">
        <v>13.032912386112301</v>
      </c>
      <c r="F3" s="5">
        <v>11.37872190618439</v>
      </c>
      <c r="G3" s="5">
        <v>3.3722514618409196</v>
      </c>
      <c r="H3" s="5">
        <v>4.6276871509523811</v>
      </c>
      <c r="I3" s="5">
        <v>0.43936278449545063</v>
      </c>
      <c r="J3" s="5">
        <v>10.799077462828995</v>
      </c>
      <c r="K3" s="5">
        <v>3.1944720208729396</v>
      </c>
      <c r="L3" s="5">
        <v>-1.0860693274651467</v>
      </c>
      <c r="M3" s="5">
        <v>79.679003665155321</v>
      </c>
      <c r="N3" s="5">
        <v>0.99692514951121769</v>
      </c>
      <c r="O3" s="5">
        <v>13.935046120939161</v>
      </c>
      <c r="P3" s="5">
        <v>3.1823959936594712</v>
      </c>
      <c r="Q3" s="5">
        <v>99.413302486773844</v>
      </c>
      <c r="R3" s="5">
        <v>16.423766410773748</v>
      </c>
      <c r="S3" s="5">
        <v>6.3847332016755942</v>
      </c>
      <c r="T3" s="5">
        <v>1.373230080467867</v>
      </c>
      <c r="U3" s="5">
        <v>240.90769384807081</v>
      </c>
      <c r="V3" s="5">
        <v>-1.8085477593146422</v>
      </c>
      <c r="W3" s="5">
        <v>179.09230615192919</v>
      </c>
      <c r="X3" s="5">
        <v>4.2678717288811931</v>
      </c>
      <c r="Y3" s="5">
        <v>59.359224342540578</v>
      </c>
      <c r="Z3" s="5">
        <v>-12.155504287442355</v>
      </c>
      <c r="AA3" s="5">
        <v>20.319779322614735</v>
      </c>
      <c r="AB3" s="5">
        <v>4.6277095033141196</v>
      </c>
      <c r="AC3" s="5">
        <v>0.46277095033141086</v>
      </c>
      <c r="AD3" s="5">
        <v>10.799131757948429</v>
      </c>
      <c r="AE3" s="5">
        <v>1.0799131757948437</v>
      </c>
      <c r="AF3" s="5">
        <v>5.782181859114238</v>
      </c>
      <c r="AG3" s="5">
        <v>34.958334298935746</v>
      </c>
      <c r="AH3" s="5">
        <v>31.487419993008906</v>
      </c>
      <c r="AI3" s="5">
        <v>5.897732920302981E-2</v>
      </c>
      <c r="AJ3" s="5">
        <v>4.9692987686398189E-2</v>
      </c>
      <c r="AK3" s="5">
        <v>0.14178701964643795</v>
      </c>
      <c r="AL3" s="5">
        <v>0.56105941448057284</v>
      </c>
      <c r="AM3" s="5">
        <v>6.1062732412057782E-3</v>
      </c>
      <c r="AN3" s="5">
        <v>4.5013057349602946E-2</v>
      </c>
      <c r="AO3" s="5">
        <v>5.4188819055195452E-2</v>
      </c>
      <c r="AP3" s="5">
        <v>2.0722818898604638</v>
      </c>
      <c r="AQ3" s="5">
        <v>2.1415695247063815</v>
      </c>
      <c r="AR3" s="5">
        <v>11.662124672553032</v>
      </c>
      <c r="AS3" s="5">
        <v>1.375639157406348</v>
      </c>
      <c r="AU3" s="12">
        <f t="shared" ref="AU3:AU49" si="0">AF3+AG3+AH3+AI3+AJ3+AK3+AL3+AM3+AN3+AO3+AP3+AQ3+AR3</f>
        <v>89.020737138841213</v>
      </c>
      <c r="AV3" s="12">
        <f t="shared" ref="AV3:AV49" si="1">A3*AS3</f>
        <v>577.76844611066622</v>
      </c>
      <c r="AW3" s="13">
        <f t="shared" ref="AW3:AW49" si="2">(AV3-AU3)/AV3</f>
        <v>0.84592315877044255</v>
      </c>
    </row>
    <row r="4" spans="1:49" x14ac:dyDescent="0.35">
      <c r="A4" s="5">
        <v>420</v>
      </c>
      <c r="B4" s="5">
        <v>100</v>
      </c>
      <c r="C4" s="5">
        <v>300</v>
      </c>
      <c r="D4" s="5">
        <v>4.576186397541945</v>
      </c>
      <c r="E4" s="5">
        <v>13.066501979845144</v>
      </c>
      <c r="F4" s="5">
        <v>8.9129497266524904</v>
      </c>
      <c r="G4" s="5">
        <v>2.7064929852231012</v>
      </c>
      <c r="H4" s="5">
        <v>4.3367095623478198</v>
      </c>
      <c r="I4" s="5">
        <v>0.43529109318042186</v>
      </c>
      <c r="J4" s="5">
        <v>8.924509845861758</v>
      </c>
      <c r="K4" s="5">
        <v>2.6830010890118112</v>
      </c>
      <c r="L4" s="5">
        <v>-0.90399727416150066</v>
      </c>
      <c r="M4" s="5">
        <v>79.711012974242252</v>
      </c>
      <c r="N4" s="5">
        <v>1.0042849380499221</v>
      </c>
      <c r="O4" s="5">
        <v>13.93546631101994</v>
      </c>
      <c r="P4" s="5">
        <v>2.7828242248973329</v>
      </c>
      <c r="Q4" s="5">
        <v>99.73598270514286</v>
      </c>
      <c r="R4" s="5">
        <v>14.265579591854495</v>
      </c>
      <c r="S4" s="5">
        <v>6.3342910870879923</v>
      </c>
      <c r="T4" s="5">
        <v>1.2078297173601087</v>
      </c>
      <c r="U4" s="5">
        <v>240.55300432061486</v>
      </c>
      <c r="V4" s="5">
        <v>-1.5743834474508125</v>
      </c>
      <c r="W4" s="5">
        <v>179.44699567938508</v>
      </c>
      <c r="X4" s="5">
        <v>3.6862270865030715</v>
      </c>
      <c r="Y4" s="5">
        <v>59.441255576134338</v>
      </c>
      <c r="Z4" s="5">
        <v>-10.578960790369646</v>
      </c>
      <c r="AA4" s="5">
        <v>20.269757398107906</v>
      </c>
      <c r="AB4" s="5">
        <v>4.3367323799436939</v>
      </c>
      <c r="AC4" s="5">
        <v>0.43367323799437063</v>
      </c>
      <c r="AD4" s="5">
        <v>8.9245622738608681</v>
      </c>
      <c r="AE4" s="5">
        <v>0.89245622738608754</v>
      </c>
      <c r="AF4" s="5">
        <v>5.0779034536029357</v>
      </c>
      <c r="AG4" s="5">
        <v>21.448981664055374</v>
      </c>
      <c r="AH4" s="5">
        <v>21.504656516998537</v>
      </c>
      <c r="AI4" s="5">
        <v>4.086055358457117E-2</v>
      </c>
      <c r="AJ4" s="5">
        <v>5.0429411839696806E-2</v>
      </c>
      <c r="AK4" s="5">
        <v>0.1084175493334562</v>
      </c>
      <c r="AL4" s="5">
        <v>0.42329406307039369</v>
      </c>
      <c r="AM4" s="5">
        <v>4.7239037417808388E-3</v>
      </c>
      <c r="AN4" s="5">
        <v>3.4111402678402548E-2</v>
      </c>
      <c r="AO4" s="5">
        <v>4.0425103646475044E-2</v>
      </c>
      <c r="AP4" s="5">
        <v>1.5695996199436015</v>
      </c>
      <c r="AQ4" s="5">
        <v>1.8807247735252095</v>
      </c>
      <c r="AR4" s="5">
        <v>7.9647811780020676</v>
      </c>
      <c r="AS4" s="5">
        <v>1.2102352474033145</v>
      </c>
      <c r="AU4" s="12">
        <f t="shared" si="0"/>
        <v>60.148909194022508</v>
      </c>
      <c r="AV4" s="12">
        <f t="shared" si="1"/>
        <v>508.29880390939206</v>
      </c>
      <c r="AW4" s="13">
        <f t="shared" si="2"/>
        <v>0.88166623896926488</v>
      </c>
    </row>
    <row r="5" spans="1:49" x14ac:dyDescent="0.35">
      <c r="A5" s="5">
        <v>420</v>
      </c>
      <c r="B5" s="5">
        <v>100</v>
      </c>
      <c r="C5" s="5">
        <v>200</v>
      </c>
      <c r="D5" s="5">
        <v>2.0499482295372977</v>
      </c>
      <c r="E5" s="5">
        <v>13.106089822437074</v>
      </c>
      <c r="F5" s="5">
        <v>6.0547861962034029</v>
      </c>
      <c r="G5" s="5">
        <v>1.934789101993134</v>
      </c>
      <c r="H5" s="5">
        <v>4.0047832393850733</v>
      </c>
      <c r="I5" s="5">
        <v>0.4368250937214081</v>
      </c>
      <c r="J5" s="5">
        <v>6.7680868114859765</v>
      </c>
      <c r="K5" s="5">
        <v>2.0952813530546663</v>
      </c>
      <c r="L5" s="5">
        <v>-0.48303261419329863</v>
      </c>
      <c r="M5" s="5">
        <v>79.785018697773054</v>
      </c>
      <c r="N5" s="5">
        <v>0.93094084447244008</v>
      </c>
      <c r="O5" s="5">
        <v>13.943395523230237</v>
      </c>
      <c r="P5" s="5">
        <v>2.3065206067427697</v>
      </c>
      <c r="Q5" s="5">
        <v>85.565870647815885</v>
      </c>
      <c r="R5" s="5">
        <v>11.703881412506222</v>
      </c>
      <c r="S5" s="5">
        <v>4.6958063275874951</v>
      </c>
      <c r="T5" s="5">
        <v>0.93286076941544083</v>
      </c>
      <c r="U5" s="5">
        <v>254.64911065441103</v>
      </c>
      <c r="V5" s="5">
        <v>-1.3727668551142402</v>
      </c>
      <c r="W5" s="5">
        <v>165.35088934558891</v>
      </c>
      <c r="X5" s="5">
        <v>2.7889417627675979</v>
      </c>
      <c r="Y5" s="5">
        <v>61.145816846955341</v>
      </c>
      <c r="Z5" s="5">
        <v>-8.9145145835886588</v>
      </c>
      <c r="AA5" s="5">
        <v>18.63920185081771</v>
      </c>
      <c r="AB5" s="5">
        <v>4.0048060707175148</v>
      </c>
      <c r="AC5" s="5">
        <v>0.40048060707175426</v>
      </c>
      <c r="AD5" s="5">
        <v>6.7681344973162672</v>
      </c>
      <c r="AE5" s="5">
        <v>0.67681344973162694</v>
      </c>
      <c r="AF5" s="5">
        <v>4.3303379745040926</v>
      </c>
      <c r="AG5" s="5">
        <v>9.8983176880685253</v>
      </c>
      <c r="AH5" s="5">
        <v>12.367889753708811</v>
      </c>
      <c r="AI5" s="5">
        <v>1.1666025318720604E-2</v>
      </c>
      <c r="AJ5" s="5">
        <v>4.3332542795352993E-2</v>
      </c>
      <c r="AK5" s="5">
        <v>7.448052233060648E-2</v>
      </c>
      <c r="AL5" s="5">
        <v>0.28492014744545796</v>
      </c>
      <c r="AM5" s="5">
        <v>2.8178850775131925E-3</v>
      </c>
      <c r="AN5" s="5">
        <v>2.5934155920312847E-2</v>
      </c>
      <c r="AO5" s="5">
        <v>2.3140133564424979E-2</v>
      </c>
      <c r="AP5" s="5">
        <v>1.1145466979107337</v>
      </c>
      <c r="AQ5" s="5">
        <v>1.603847166405586</v>
      </c>
      <c r="AR5" s="5">
        <v>4.5807644573762527</v>
      </c>
      <c r="AS5" s="5">
        <v>0.93540726052198486</v>
      </c>
      <c r="AU5" s="12">
        <f t="shared" si="0"/>
        <v>34.361995150426388</v>
      </c>
      <c r="AV5" s="12">
        <f t="shared" si="1"/>
        <v>392.87104941923366</v>
      </c>
      <c r="AW5" s="13">
        <f t="shared" si="2"/>
        <v>0.91253619934270447</v>
      </c>
    </row>
    <row r="6" spans="1:49" x14ac:dyDescent="0.35">
      <c r="A6" s="5">
        <v>420</v>
      </c>
      <c r="B6" s="5">
        <v>90</v>
      </c>
      <c r="C6" s="5">
        <v>500</v>
      </c>
      <c r="D6" s="5">
        <v>0.59524005384509515</v>
      </c>
      <c r="E6" s="5">
        <v>12.268560655819035</v>
      </c>
      <c r="F6" s="5">
        <v>11.874775380822657</v>
      </c>
      <c r="G6" s="5">
        <v>3.5061870943853157</v>
      </c>
      <c r="H6" s="5">
        <v>11.279493276621308</v>
      </c>
      <c r="I6" s="5">
        <v>0.56348349733399905</v>
      </c>
      <c r="J6" s="5">
        <v>13.269748301872481</v>
      </c>
      <c r="K6" s="5">
        <v>3.8706412091215099</v>
      </c>
      <c r="L6" s="5">
        <v>-2.2038393855441893</v>
      </c>
      <c r="M6" s="5">
        <v>79.543851116545127</v>
      </c>
      <c r="N6" s="5">
        <v>0.99842116568134287</v>
      </c>
      <c r="O6" s="5">
        <v>13.959995070708265</v>
      </c>
      <c r="P6" s="5">
        <v>4.886418660303586</v>
      </c>
      <c r="Q6" s="5">
        <v>118.14423251969123</v>
      </c>
      <c r="R6" s="5">
        <v>25.547733342764015</v>
      </c>
      <c r="S6" s="5">
        <v>7.4593435048247976</v>
      </c>
      <c r="T6" s="5">
        <v>2.3291924742031633</v>
      </c>
      <c r="U6" s="5">
        <v>222.31191636376369</v>
      </c>
      <c r="V6" s="5">
        <v>-2.5569799477731476</v>
      </c>
      <c r="W6" s="5">
        <v>197.68808363623634</v>
      </c>
      <c r="X6" s="5">
        <v>7.0896768007223629</v>
      </c>
      <c r="Y6" s="5">
        <v>58.124512541012088</v>
      </c>
      <c r="Z6" s="5">
        <v>-18.457689490301998</v>
      </c>
      <c r="AA6" s="5">
        <v>21.41933857553304</v>
      </c>
      <c r="AB6" s="5">
        <v>11.279509175552315</v>
      </c>
      <c r="AC6" s="5">
        <v>1.1279509175552322</v>
      </c>
      <c r="AD6" s="5">
        <v>13.269803001530365</v>
      </c>
      <c r="AE6" s="5">
        <v>1.3269803001530365</v>
      </c>
      <c r="AF6" s="5">
        <v>34.35128151588323</v>
      </c>
      <c r="AG6" s="5">
        <v>38.072778393147807</v>
      </c>
      <c r="AH6" s="5">
        <v>47.543279398662847</v>
      </c>
      <c r="AI6" s="5">
        <v>0.24284540186378953</v>
      </c>
      <c r="AJ6" s="5">
        <v>4.9842241204024577E-2</v>
      </c>
      <c r="AK6" s="5">
        <v>0.33427922253268327</v>
      </c>
      <c r="AL6" s="7">
        <v>1.3575882922221905</v>
      </c>
      <c r="AM6" s="5">
        <v>1.7567112169912212E-2</v>
      </c>
      <c r="AN6" s="5">
        <v>8.9977348809892249E-2</v>
      </c>
      <c r="AO6" s="5">
        <v>0.14953396348763512</v>
      </c>
      <c r="AP6" s="5">
        <v>4.7781253760186777</v>
      </c>
      <c r="AQ6" s="5">
        <v>12.722732724136888</v>
      </c>
      <c r="AR6" s="5">
        <v>17.608767169942428</v>
      </c>
      <c r="AS6" s="5">
        <v>2.3314155933668008</v>
      </c>
      <c r="AU6" s="12">
        <f t="shared" si="0"/>
        <v>157.31859816008202</v>
      </c>
      <c r="AV6" s="12">
        <f t="shared" si="1"/>
        <v>979.19454921405634</v>
      </c>
      <c r="AW6" s="13">
        <f t="shared" si="2"/>
        <v>0.83933877257961376</v>
      </c>
    </row>
    <row r="7" spans="1:49" x14ac:dyDescent="0.35">
      <c r="A7" s="5">
        <v>420</v>
      </c>
      <c r="B7" s="5">
        <v>90</v>
      </c>
      <c r="C7" s="5">
        <v>400</v>
      </c>
      <c r="D7" s="5">
        <v>-0.82134505914175071</v>
      </c>
      <c r="E7" s="5">
        <v>12.320042361862443</v>
      </c>
      <c r="F7" s="5">
        <v>9.869557229291166</v>
      </c>
      <c r="G7" s="5">
        <v>2.964777645197628</v>
      </c>
      <c r="H7" s="5">
        <v>10.690858286031554</v>
      </c>
      <c r="I7" s="5">
        <v>0.54266024645654265</v>
      </c>
      <c r="J7" s="5">
        <v>11.607150081914329</v>
      </c>
      <c r="K7" s="5">
        <v>3.415805116597133</v>
      </c>
      <c r="L7" s="5">
        <v>-1.6235672011644362</v>
      </c>
      <c r="M7" s="5">
        <v>79.564469059699448</v>
      </c>
      <c r="N7" s="5">
        <v>0.97695855600657178</v>
      </c>
      <c r="O7" s="5">
        <v>13.931790103300443</v>
      </c>
      <c r="P7" s="5">
        <v>4.4703751007533032</v>
      </c>
      <c r="Q7" s="5">
        <v>99.175437471416458</v>
      </c>
      <c r="R7" s="5">
        <v>23.275036206206192</v>
      </c>
      <c r="S7" s="5">
        <v>6.3252374153248887</v>
      </c>
      <c r="T7" s="5">
        <v>1.9374241400774048</v>
      </c>
      <c r="U7" s="5">
        <v>241.26009346888409</v>
      </c>
      <c r="V7" s="5">
        <v>-2.53232575880652</v>
      </c>
      <c r="W7" s="5">
        <v>178.73990653111591</v>
      </c>
      <c r="X7" s="5">
        <v>6.093349227502328</v>
      </c>
      <c r="Y7" s="5">
        <v>59.307441541074134</v>
      </c>
      <c r="Z7" s="5">
        <v>-17.181296474563638</v>
      </c>
      <c r="AA7" s="5">
        <v>20.257027518625311</v>
      </c>
      <c r="AB7" s="5">
        <v>10.69087494981463</v>
      </c>
      <c r="AC7" s="5">
        <v>1.0690874949814622</v>
      </c>
      <c r="AD7" s="5">
        <v>11.607202700385011</v>
      </c>
      <c r="AE7" s="5">
        <v>1.1607202700385018</v>
      </c>
      <c r="AF7" s="5">
        <v>30.859501740842582</v>
      </c>
      <c r="AG7" s="5">
        <v>26.300203173608452</v>
      </c>
      <c r="AH7" s="5">
        <v>36.376001916502631</v>
      </c>
      <c r="AI7" s="5">
        <v>0.13179852283484603</v>
      </c>
      <c r="AJ7" s="5">
        <v>4.7722401007722293E-2</v>
      </c>
      <c r="AK7" s="5">
        <v>0.27977954958009149</v>
      </c>
      <c r="AL7" s="5">
        <v>1.126792805632435</v>
      </c>
      <c r="AM7" s="5">
        <v>1.2154554109605604E-2</v>
      </c>
      <c r="AN7" s="5">
        <v>8.8250605398982856E-2</v>
      </c>
      <c r="AO7" s="5">
        <v>0.11045849180470207</v>
      </c>
      <c r="AP7" s="5">
        <v>4.1401372033696111</v>
      </c>
      <c r="AQ7" s="5">
        <v>11.429480719257397</v>
      </c>
      <c r="AR7" s="5">
        <v>13.472715452782509</v>
      </c>
      <c r="AS7" s="5">
        <v>1.9398367410120936</v>
      </c>
      <c r="AU7" s="12">
        <f t="shared" si="0"/>
        <v>124.37499713673157</v>
      </c>
      <c r="AV7" s="12">
        <f t="shared" si="1"/>
        <v>814.73143122507929</v>
      </c>
      <c r="AW7" s="13">
        <f t="shared" si="2"/>
        <v>0.847342335928155</v>
      </c>
    </row>
    <row r="8" spans="1:49" x14ac:dyDescent="0.35">
      <c r="A8" s="5">
        <v>420</v>
      </c>
      <c r="B8" s="5">
        <v>90</v>
      </c>
      <c r="C8" s="5">
        <v>300</v>
      </c>
      <c r="D8" s="5">
        <v>-2.5122541398867133</v>
      </c>
      <c r="E8" s="5">
        <v>12.391070285670954</v>
      </c>
      <c r="F8" s="5">
        <v>7.5593009625628733</v>
      </c>
      <c r="G8" s="5">
        <v>2.3410084637478339</v>
      </c>
      <c r="H8" s="5">
        <v>10.071508506712968</v>
      </c>
      <c r="I8" s="5">
        <v>0.53464158984964083</v>
      </c>
      <c r="J8" s="5">
        <v>9.7445035874456458</v>
      </c>
      <c r="K8" s="5">
        <v>2.9083470916054246</v>
      </c>
      <c r="L8" s="5">
        <v>-1.4240630891628334</v>
      </c>
      <c r="M8" s="5">
        <v>79.611784370474382</v>
      </c>
      <c r="N8" s="5">
        <v>0.98014879757076256</v>
      </c>
      <c r="O8" s="5">
        <v>13.932864374067385</v>
      </c>
      <c r="P8" s="5">
        <v>3.9960994896559479</v>
      </c>
      <c r="Q8" s="5">
        <v>97.351053986470788</v>
      </c>
      <c r="R8" s="5">
        <v>20.79622838842706</v>
      </c>
      <c r="S8" s="5">
        <v>6.3198412414436653</v>
      </c>
      <c r="T8" s="5">
        <v>1.7127362906875694</v>
      </c>
      <c r="U8" s="5">
        <v>243.03716164305484</v>
      </c>
      <c r="V8" s="5">
        <v>-2.282702455735516</v>
      </c>
      <c r="W8" s="5">
        <v>176.96283835694516</v>
      </c>
      <c r="X8" s="5">
        <v>5.419568988031231</v>
      </c>
      <c r="Y8" s="5">
        <v>59.359078754963342</v>
      </c>
      <c r="Z8" s="5">
        <v>-15.376268336664438</v>
      </c>
      <c r="AA8" s="5">
        <v>20.252705615511026</v>
      </c>
      <c r="AB8" s="5">
        <v>10.071524985467867</v>
      </c>
      <c r="AC8" s="5">
        <v>1.0071524985467883</v>
      </c>
      <c r="AD8" s="5">
        <v>9.7445546053884158</v>
      </c>
      <c r="AE8" s="5">
        <v>0.97445546053884247</v>
      </c>
      <c r="AF8" s="5">
        <v>27.387526572213755</v>
      </c>
      <c r="AG8" s="5">
        <v>15.428618381503075</v>
      </c>
      <c r="AH8" s="5">
        <v>25.637944544750091</v>
      </c>
      <c r="AI8" s="5">
        <v>0.10139778409579961</v>
      </c>
      <c r="AJ8" s="5">
        <v>4.8034583268970588E-2</v>
      </c>
      <c r="AK8" s="5">
        <v>0.22356335583719938</v>
      </c>
      <c r="AL8" s="5">
        <v>0.89956487958192866</v>
      </c>
      <c r="AM8" s="5">
        <v>9.4988409951332654E-3</v>
      </c>
      <c r="AN8" s="5">
        <v>7.170957690050743E-2</v>
      </c>
      <c r="AO8" s="5">
        <v>8.7380890847688852E-2</v>
      </c>
      <c r="AP8" s="5">
        <v>3.3159255321545587</v>
      </c>
      <c r="AQ8" s="5">
        <v>10.143561553290354</v>
      </c>
      <c r="AR8" s="5">
        <v>9.4956344457396593</v>
      </c>
      <c r="AS8" s="5">
        <v>1.7151666623039998</v>
      </c>
      <c r="AU8" s="12">
        <f t="shared" si="0"/>
        <v>92.850360941178693</v>
      </c>
      <c r="AV8" s="12">
        <f t="shared" si="1"/>
        <v>720.36999816767991</v>
      </c>
      <c r="AW8" s="13">
        <f t="shared" si="2"/>
        <v>0.871107401505683</v>
      </c>
    </row>
    <row r="9" spans="1:49" x14ac:dyDescent="0.35">
      <c r="A9" s="5">
        <v>420</v>
      </c>
      <c r="B9" s="5">
        <v>90</v>
      </c>
      <c r="C9" s="5">
        <v>200</v>
      </c>
      <c r="D9" s="5">
        <v>-4.4377276476819381</v>
      </c>
      <c r="E9" s="5">
        <v>12.474287588996019</v>
      </c>
      <c r="F9" s="5">
        <v>4.8825711948183077</v>
      </c>
      <c r="G9" s="5">
        <v>1.6182914289676484</v>
      </c>
      <c r="H9" s="5">
        <v>9.3202465210321002</v>
      </c>
      <c r="I9" s="5">
        <v>0.52445796580792592</v>
      </c>
      <c r="J9" s="5">
        <v>7.5783813749207596</v>
      </c>
      <c r="K9" s="5">
        <v>2.3169327134092872</v>
      </c>
      <c r="L9" s="5">
        <v>-1.2166273687248905</v>
      </c>
      <c r="M9" s="5">
        <v>79.690652481066621</v>
      </c>
      <c r="N9" s="5">
        <v>0.98964810046466456</v>
      </c>
      <c r="O9" s="5">
        <v>13.930772044624067</v>
      </c>
      <c r="P9" s="5">
        <v>3.4363472635460828</v>
      </c>
      <c r="Q9" s="5">
        <v>97.491442434923385</v>
      </c>
      <c r="R9" s="5">
        <v>17.888344710529932</v>
      </c>
      <c r="S9" s="5">
        <v>6.3416447231291002</v>
      </c>
      <c r="T9" s="5">
        <v>1.4898062544626169</v>
      </c>
      <c r="U9" s="5">
        <v>242.81790508400996</v>
      </c>
      <c r="V9" s="5">
        <v>-1.9458846509817858</v>
      </c>
      <c r="W9" s="5">
        <v>177.18209491599001</v>
      </c>
      <c r="X9" s="5">
        <v>4.6523804499138404</v>
      </c>
      <c r="Y9" s="5">
        <v>59.41823571331345</v>
      </c>
      <c r="Z9" s="5">
        <v>-13.235572802426635</v>
      </c>
      <c r="AA9" s="5">
        <v>20.272416767753153</v>
      </c>
      <c r="AB9" s="5">
        <v>9.3202648982012075</v>
      </c>
      <c r="AC9" s="5">
        <v>0.93202648982012348</v>
      </c>
      <c r="AD9" s="5">
        <v>7.5784317118640603</v>
      </c>
      <c r="AE9" s="5">
        <v>0.75784317118640643</v>
      </c>
      <c r="AF9" s="5">
        <v>23.454088707458961</v>
      </c>
      <c r="AG9" s="5">
        <v>6.4366653975667587</v>
      </c>
      <c r="AH9" s="5">
        <v>15.506603351211385</v>
      </c>
      <c r="AI9" s="5">
        <v>7.400910771652254E-2</v>
      </c>
      <c r="AJ9" s="5">
        <v>4.8970168137665943E-2</v>
      </c>
      <c r="AK9" s="5">
        <v>0.16531875521952913</v>
      </c>
      <c r="AL9" s="5">
        <v>0.66558518308410786</v>
      </c>
      <c r="AM9" s="5">
        <v>7.1870258074687304E-3</v>
      </c>
      <c r="AN9" s="5">
        <v>5.2108999269226679E-2</v>
      </c>
      <c r="AO9" s="5">
        <v>6.4392815455953017E-2</v>
      </c>
      <c r="AP9" s="5">
        <v>2.4569049334019071</v>
      </c>
      <c r="AQ9" s="5">
        <v>8.6867337772641573</v>
      </c>
      <c r="AR9" s="5">
        <v>5.7432627211386835</v>
      </c>
      <c r="AS9" s="5">
        <v>1.4922344335134574</v>
      </c>
      <c r="AU9" s="12">
        <f t="shared" si="0"/>
        <v>63.361830942732325</v>
      </c>
      <c r="AV9" s="12">
        <f t="shared" si="1"/>
        <v>626.73846207565214</v>
      </c>
      <c r="AW9" s="13">
        <f t="shared" si="2"/>
        <v>0.89890227778124765</v>
      </c>
    </row>
    <row r="10" spans="1:49" x14ac:dyDescent="0.35">
      <c r="A10" s="5">
        <v>420</v>
      </c>
      <c r="B10" s="5">
        <v>80</v>
      </c>
      <c r="C10" s="5">
        <v>500</v>
      </c>
      <c r="D10" s="5">
        <v>0.23797870517608705</v>
      </c>
      <c r="E10" s="5">
        <v>12.226828186823191</v>
      </c>
      <c r="F10" s="5">
        <v>11.793784797297501</v>
      </c>
      <c r="G10" s="5">
        <v>3.4843195559281912</v>
      </c>
      <c r="H10" s="5">
        <v>11.5557706320319</v>
      </c>
      <c r="I10" s="5">
        <v>0.56631742425663933</v>
      </c>
      <c r="J10" s="5">
        <v>13.293738040958303</v>
      </c>
      <c r="K10" s="5">
        <v>3.8768370270245134</v>
      </c>
      <c r="L10" s="5">
        <v>-2.7028825648206509</v>
      </c>
      <c r="M10" s="5">
        <v>79.510196969082401</v>
      </c>
      <c r="N10" s="5">
        <v>0.83160566627394261</v>
      </c>
      <c r="O10" s="5">
        <v>13.948724085445958</v>
      </c>
      <c r="P10" s="5">
        <v>4.9078996447943277</v>
      </c>
      <c r="Q10" s="5">
        <v>107.90393574978471</v>
      </c>
      <c r="R10" s="5">
        <v>25.681174685199647</v>
      </c>
      <c r="S10" s="5">
        <v>9.0092635908797849</v>
      </c>
      <c r="T10" s="5">
        <v>2.2140030358505118</v>
      </c>
      <c r="U10" s="5">
        <v>232.58586728113292</v>
      </c>
      <c r="V10" s="5">
        <v>-2.6934448915981934</v>
      </c>
      <c r="W10" s="5">
        <v>187.41413271886714</v>
      </c>
      <c r="X10" s="5">
        <v>7.6102166875220494</v>
      </c>
      <c r="Y10" s="5">
        <v>56.552209292756672</v>
      </c>
      <c r="Z10" s="5">
        <v>-18.070622055461435</v>
      </c>
      <c r="AA10" s="5">
        <v>22.957987676325729</v>
      </c>
      <c r="AB10" s="5">
        <v>11.555784743661265</v>
      </c>
      <c r="AC10" s="5">
        <v>1.1555784743661275</v>
      </c>
      <c r="AD10" s="5">
        <v>13.293784275264446</v>
      </c>
      <c r="AE10" s="5">
        <v>1.3293784275264444</v>
      </c>
      <c r="AF10" s="5">
        <v>36.054675423035356</v>
      </c>
      <c r="AG10" s="5">
        <v>37.555207158140732</v>
      </c>
      <c r="AH10" s="5">
        <v>47.715337197437918</v>
      </c>
      <c r="AI10" s="5">
        <v>0.36527870796057305</v>
      </c>
      <c r="AJ10" s="5">
        <v>3.4578399208946405E-2</v>
      </c>
      <c r="AK10" s="5">
        <v>0.33722470492721202</v>
      </c>
      <c r="AL10" s="5">
        <v>1.3718072850804173</v>
      </c>
      <c r="AM10" s="5">
        <v>1.5872525814636156E-2</v>
      </c>
      <c r="AN10" s="5">
        <v>9.9837738857051481E-2</v>
      </c>
      <c r="AO10" s="5">
        <v>0.17229830914234126</v>
      </c>
      <c r="AP10" s="5">
        <v>4.5798270251353923</v>
      </c>
      <c r="AQ10" s="5">
        <v>13.353616104183445</v>
      </c>
      <c r="AR10" s="5">
        <v>17.672470035726828</v>
      </c>
      <c r="AS10" s="5">
        <v>2.2163288945233233</v>
      </c>
      <c r="AU10" s="12">
        <f t="shared" si="0"/>
        <v>159.32803061465083</v>
      </c>
      <c r="AV10" s="12">
        <f t="shared" si="1"/>
        <v>930.85813569979575</v>
      </c>
      <c r="AW10" s="13">
        <f t="shared" si="2"/>
        <v>0.8288374731828797</v>
      </c>
    </row>
    <row r="11" spans="1:49" x14ac:dyDescent="0.35">
      <c r="A11" s="5">
        <v>420</v>
      </c>
      <c r="B11" s="5">
        <v>80</v>
      </c>
      <c r="C11" s="5">
        <v>400</v>
      </c>
      <c r="D11" s="5">
        <v>-1.3110015650747293</v>
      </c>
      <c r="E11" s="5">
        <v>12.274380200918053</v>
      </c>
      <c r="F11" s="5">
        <v>9.7724934309896678</v>
      </c>
      <c r="G11" s="5">
        <v>2.9385704285356335</v>
      </c>
      <c r="H11" s="5">
        <v>11.083451684278437</v>
      </c>
      <c r="I11" s="5">
        <v>0.5491279625548775</v>
      </c>
      <c r="J11" s="5">
        <v>11.659551739871924</v>
      </c>
      <c r="K11" s="5">
        <v>3.4300847778430437</v>
      </c>
      <c r="L11" s="5">
        <v>-1.6504980727507088</v>
      </c>
      <c r="M11" s="5">
        <v>79.555754356439635</v>
      </c>
      <c r="N11" s="5">
        <v>0.97533744961340874</v>
      </c>
      <c r="O11" s="5">
        <v>13.931854944329567</v>
      </c>
      <c r="P11" s="5">
        <v>4.5522795356874299</v>
      </c>
      <c r="Q11" s="5">
        <v>97.943245193189071</v>
      </c>
      <c r="R11" s="5">
        <v>23.718409199220776</v>
      </c>
      <c r="S11" s="5">
        <v>6.2938667610694594</v>
      </c>
      <c r="T11" s="5">
        <v>1.9623892123131772</v>
      </c>
      <c r="U11" s="5">
        <v>242.50100045037132</v>
      </c>
      <c r="V11" s="5">
        <v>-2.5892403033652447</v>
      </c>
      <c r="W11" s="5">
        <v>177.49899954962873</v>
      </c>
      <c r="X11" s="5">
        <v>6.2021843081116286</v>
      </c>
      <c r="Y11" s="5">
        <v>59.330032651040618</v>
      </c>
      <c r="Z11" s="5">
        <v>-17.515833847999694</v>
      </c>
      <c r="AA11" s="5">
        <v>20.225721705399003</v>
      </c>
      <c r="AB11" s="5">
        <v>11.083467808566365</v>
      </c>
      <c r="AC11" s="5">
        <v>1.1083467808566356</v>
      </c>
      <c r="AD11" s="5">
        <v>11.659603941041022</v>
      </c>
      <c r="AE11" s="5">
        <v>1.165960394104103</v>
      </c>
      <c r="AF11" s="5">
        <v>33.167583334188322</v>
      </c>
      <c r="AG11" s="5">
        <v>25.78543952185878</v>
      </c>
      <c r="AH11" s="5">
        <v>36.705189629182613</v>
      </c>
      <c r="AI11" s="5">
        <v>0.13620719440769022</v>
      </c>
      <c r="AJ11" s="5">
        <v>4.7564157030919429E-2</v>
      </c>
      <c r="AK11" s="5">
        <v>0.29012548559453988</v>
      </c>
      <c r="AL11" s="5">
        <v>1.1701309046786958</v>
      </c>
      <c r="AM11" s="5">
        <v>1.2469812219095858E-2</v>
      </c>
      <c r="AN11" s="5">
        <v>9.2262085035095379E-2</v>
      </c>
      <c r="AO11" s="5">
        <v>0.11443959332056371</v>
      </c>
      <c r="AP11" s="5">
        <v>4.3029322063550133</v>
      </c>
      <c r="AQ11" s="5">
        <v>12.28432586635269</v>
      </c>
      <c r="AR11" s="5">
        <v>13.594636406193935</v>
      </c>
      <c r="AS11" s="5">
        <v>1.964814222317681</v>
      </c>
      <c r="AU11" s="12">
        <f t="shared" si="0"/>
        <v>127.70330619641797</v>
      </c>
      <c r="AV11" s="12">
        <f t="shared" si="1"/>
        <v>825.22197337342607</v>
      </c>
      <c r="AW11" s="13">
        <f t="shared" si="2"/>
        <v>0.84524975059209895</v>
      </c>
    </row>
    <row r="12" spans="1:49" x14ac:dyDescent="0.35">
      <c r="A12" s="5">
        <v>420</v>
      </c>
      <c r="B12" s="5">
        <v>80</v>
      </c>
      <c r="C12" s="5">
        <v>300</v>
      </c>
      <c r="D12" s="5">
        <v>-3.1276852981844532</v>
      </c>
      <c r="E12" s="5">
        <v>12.332455783926275</v>
      </c>
      <c r="F12" s="5">
        <v>7.442762371100951</v>
      </c>
      <c r="G12" s="5">
        <v>2.3095430410110591</v>
      </c>
      <c r="H12" s="5">
        <v>10.570400739279561</v>
      </c>
      <c r="I12" s="5">
        <v>0.5421869090624104</v>
      </c>
      <c r="J12" s="5">
        <v>9.8142979177619871</v>
      </c>
      <c r="K12" s="5">
        <v>2.9273367926936498</v>
      </c>
      <c r="L12" s="5">
        <v>-1.4802698916805213</v>
      </c>
      <c r="M12" s="5">
        <v>79.609211573485794</v>
      </c>
      <c r="N12" s="5">
        <v>0.97933639649190185</v>
      </c>
      <c r="O12" s="5">
        <v>13.931684437654559</v>
      </c>
      <c r="P12" s="5">
        <v>4.102794386360987</v>
      </c>
      <c r="Q12" s="5">
        <v>98.152295452175139</v>
      </c>
      <c r="R12" s="5">
        <v>21.364102863607535</v>
      </c>
      <c r="S12" s="5">
        <v>6.351669932325807</v>
      </c>
      <c r="T12" s="5">
        <v>1.7684425892277305</v>
      </c>
      <c r="U12" s="5">
        <v>242.23849297433898</v>
      </c>
      <c r="V12" s="5">
        <v>-2.333707027273769</v>
      </c>
      <c r="W12" s="5">
        <v>177.76150702566096</v>
      </c>
      <c r="X12" s="5">
        <v>5.5824710194694713</v>
      </c>
      <c r="Y12" s="5">
        <v>59.325857203505443</v>
      </c>
      <c r="Z12" s="5">
        <v>-15.781241419109731</v>
      </c>
      <c r="AA12" s="5">
        <v>20.283354369980337</v>
      </c>
      <c r="AB12" s="5">
        <v>10.570417446658688</v>
      </c>
      <c r="AC12" s="5">
        <v>1.05704174466587</v>
      </c>
      <c r="AD12" s="5">
        <v>9.8143490204569375</v>
      </c>
      <c r="AE12" s="5">
        <v>0.98143490204569461</v>
      </c>
      <c r="AF12" s="5">
        <v>30.168010383019716</v>
      </c>
      <c r="AG12" s="5">
        <v>14.956572162422589</v>
      </c>
      <c r="AH12" s="5">
        <v>26.006519777018568</v>
      </c>
      <c r="AI12" s="5">
        <v>0.10955994761079312</v>
      </c>
      <c r="AJ12" s="5">
        <v>4.7954988874687181E-2</v>
      </c>
      <c r="AK12" s="5">
        <v>0.2356609048745732</v>
      </c>
      <c r="AL12" s="5">
        <v>0.94936377362695157</v>
      </c>
      <c r="AM12" s="5">
        <v>1.0126784048324981E-2</v>
      </c>
      <c r="AN12" s="5">
        <v>7.494992730302262E-2</v>
      </c>
      <c r="AO12" s="5">
        <v>9.2712848482569138E-2</v>
      </c>
      <c r="AP12" s="5">
        <v>3.492892319713349</v>
      </c>
      <c r="AQ12" s="5">
        <v>11.173372499662639</v>
      </c>
      <c r="AR12" s="5">
        <v>9.6321446695344051</v>
      </c>
      <c r="AS12" s="5">
        <v>1.7708649741574738</v>
      </c>
      <c r="AU12" s="12">
        <f t="shared" si="0"/>
        <v>96.949840986192186</v>
      </c>
      <c r="AV12" s="12">
        <f t="shared" si="1"/>
        <v>743.76328914613896</v>
      </c>
      <c r="AW12" s="13">
        <f t="shared" si="2"/>
        <v>0.86964960169317673</v>
      </c>
    </row>
    <row r="13" spans="1:49" x14ac:dyDescent="0.35">
      <c r="A13" s="5">
        <v>420</v>
      </c>
      <c r="B13" s="5">
        <v>80</v>
      </c>
      <c r="C13" s="5">
        <v>200</v>
      </c>
      <c r="D13" s="5">
        <v>-5.2124866804312422</v>
      </c>
      <c r="E13" s="5">
        <v>12.39983405427472</v>
      </c>
      <c r="F13" s="5">
        <v>4.7440295107006119</v>
      </c>
      <c r="G13" s="5">
        <v>1.5808851809606519</v>
      </c>
      <c r="H13" s="5">
        <v>9.9564625912908422</v>
      </c>
      <c r="I13" s="5">
        <v>0.53438787691125711</v>
      </c>
      <c r="J13" s="5">
        <v>7.6743979248340972</v>
      </c>
      <c r="K13" s="5">
        <v>2.3434763363104079</v>
      </c>
      <c r="L13" s="5">
        <v>-1.2438451707616329</v>
      </c>
      <c r="M13" s="5">
        <v>79.688432177198706</v>
      </c>
      <c r="N13" s="5">
        <v>0.99082730445015976</v>
      </c>
      <c r="O13" s="5">
        <v>13.929870130856662</v>
      </c>
      <c r="P13" s="5">
        <v>3.5943801236795938</v>
      </c>
      <c r="Q13" s="5">
        <v>97.111704607998121</v>
      </c>
      <c r="R13" s="5">
        <v>18.621758513478795</v>
      </c>
      <c r="S13" s="5">
        <v>6.2808639365950949</v>
      </c>
      <c r="T13" s="5">
        <v>1.5434917164339466</v>
      </c>
      <c r="U13" s="5">
        <v>243.19986321480312</v>
      </c>
      <c r="V13" s="5">
        <v>-2.0502244099813498</v>
      </c>
      <c r="W13" s="5">
        <v>176.80013678519686</v>
      </c>
      <c r="X13" s="5">
        <v>4.8376305174601271</v>
      </c>
      <c r="Y13" s="5">
        <v>59.477698109746953</v>
      </c>
      <c r="Z13" s="5">
        <v>-13.783735326378249</v>
      </c>
      <c r="AA13" s="5">
        <v>20.210734067451739</v>
      </c>
      <c r="AB13" s="5">
        <v>9.9564819967068168</v>
      </c>
      <c r="AC13" s="5">
        <v>0.99564819967068452</v>
      </c>
      <c r="AD13" s="5">
        <v>7.674449212321818</v>
      </c>
      <c r="AE13" s="5">
        <v>0.76744492123218244</v>
      </c>
      <c r="AF13" s="5">
        <v>26.765409779578967</v>
      </c>
      <c r="AG13" s="5">
        <v>6.076570319567538</v>
      </c>
      <c r="AH13" s="5">
        <v>15.902023547348433</v>
      </c>
      <c r="AI13" s="5">
        <v>7.7357540441351791E-2</v>
      </c>
      <c r="AJ13" s="5">
        <v>4.9086937362198484E-2</v>
      </c>
      <c r="AK13" s="5">
        <v>0.18087395862904107</v>
      </c>
      <c r="AL13" s="5">
        <v>0.72128137147938554</v>
      </c>
      <c r="AM13" s="5">
        <v>7.7143301976959197E-3</v>
      </c>
      <c r="AN13" s="5">
        <v>5.7847067520995006E-2</v>
      </c>
      <c r="AO13" s="5">
        <v>6.9622940344798073E-2</v>
      </c>
      <c r="AP13" s="5">
        <v>2.6646288176557591</v>
      </c>
      <c r="AQ13" s="5">
        <v>9.9131533750746978</v>
      </c>
      <c r="AR13" s="5">
        <v>5.889717071250697</v>
      </c>
      <c r="AS13" s="5">
        <v>1.5459237150660947</v>
      </c>
      <c r="AU13" s="12">
        <f t="shared" si="0"/>
        <v>68.375287056451569</v>
      </c>
      <c r="AV13" s="12">
        <f t="shared" si="1"/>
        <v>649.28796032775983</v>
      </c>
      <c r="AW13" s="13">
        <f t="shared" si="2"/>
        <v>0.89469189137291893</v>
      </c>
    </row>
    <row r="14" spans="1:49" x14ac:dyDescent="0.35">
      <c r="A14" s="5">
        <v>420</v>
      </c>
      <c r="B14" s="5">
        <v>70</v>
      </c>
      <c r="C14" s="5">
        <v>500</v>
      </c>
      <c r="D14" s="5">
        <v>-0.20991911023328463</v>
      </c>
      <c r="E14" s="5">
        <v>12.177305378851273</v>
      </c>
      <c r="F14" s="5">
        <v>11.692133254995561</v>
      </c>
      <c r="G14" s="5">
        <v>3.4568737234730369</v>
      </c>
      <c r="H14" s="5">
        <v>11.902027096323502</v>
      </c>
      <c r="I14" s="5">
        <v>0.57387758903379593</v>
      </c>
      <c r="J14" s="5">
        <v>13.332042938948279</v>
      </c>
      <c r="K14" s="5">
        <v>3.8877473204532063</v>
      </c>
      <c r="L14" s="5">
        <v>-3.4137069489447787</v>
      </c>
      <c r="M14" s="5">
        <v>79.470929109603716</v>
      </c>
      <c r="N14" s="5">
        <v>0.61829236531039511</v>
      </c>
      <c r="O14" s="5">
        <v>13.941386703451506</v>
      </c>
      <c r="P14" s="5">
        <v>4.9000990807335194</v>
      </c>
      <c r="Q14" s="5">
        <v>115.1979584633592</v>
      </c>
      <c r="R14" s="5">
        <v>25.852406997175422</v>
      </c>
      <c r="S14" s="5">
        <v>11.227360837964245</v>
      </c>
      <c r="T14" s="5">
        <v>2.2888961247532507</v>
      </c>
      <c r="U14" s="5">
        <v>225.33111242703711</v>
      </c>
      <c r="V14" s="5">
        <v>-2.6108963337317275</v>
      </c>
      <c r="W14" s="5">
        <v>194.66888757296286</v>
      </c>
      <c r="X14" s="5">
        <v>8.3132630078626164</v>
      </c>
      <c r="Y14" s="5">
        <v>54.302181568187962</v>
      </c>
      <c r="Z14" s="5">
        <v>-17.538852654972533</v>
      </c>
      <c r="AA14" s="5">
        <v>25.168747541415737</v>
      </c>
      <c r="AB14" s="5">
        <v>11.902037355664378</v>
      </c>
      <c r="AC14" s="5">
        <v>1.1902037355664383</v>
      </c>
      <c r="AD14" s="5">
        <v>13.33207727620065</v>
      </c>
      <c r="AE14" s="5">
        <v>1.3332077276200656</v>
      </c>
      <c r="AF14" s="5">
        <v>38.247727230437093</v>
      </c>
      <c r="AG14" s="5">
        <v>36.910614614194742</v>
      </c>
      <c r="AH14" s="5">
        <v>47.990709610009382</v>
      </c>
      <c r="AI14" s="5">
        <v>0.58266975666369347</v>
      </c>
      <c r="AJ14" s="5">
        <v>1.9114272450056157E-2</v>
      </c>
      <c r="AK14" s="5">
        <v>0.3361535940140768</v>
      </c>
      <c r="AL14" s="5">
        <v>1.3901616508990178</v>
      </c>
      <c r="AM14" s="5">
        <v>1.6964528188281452E-2</v>
      </c>
      <c r="AN14" s="5">
        <v>9.3811872539414365E-2</v>
      </c>
      <c r="AO14" s="5">
        <v>0.20560326696774356</v>
      </c>
      <c r="AP14" s="5">
        <v>4.3142492181510406</v>
      </c>
      <c r="AQ14" s="5">
        <v>14.16584932156303</v>
      </c>
      <c r="AR14" s="5">
        <v>17.774428449858572</v>
      </c>
      <c r="AS14" s="5">
        <v>2.2911494358775206</v>
      </c>
      <c r="AU14" s="12">
        <f t="shared" si="0"/>
        <v>162.04805738593612</v>
      </c>
      <c r="AV14" s="12">
        <f t="shared" si="1"/>
        <v>962.28276306855867</v>
      </c>
      <c r="AW14" s="13">
        <f t="shared" si="2"/>
        <v>0.83160037402188114</v>
      </c>
    </row>
    <row r="15" spans="1:49" x14ac:dyDescent="0.35">
      <c r="A15" s="5">
        <v>420</v>
      </c>
      <c r="B15" s="5">
        <v>70</v>
      </c>
      <c r="C15" s="5">
        <v>400</v>
      </c>
      <c r="D15" s="5">
        <v>-1.9103816921499772</v>
      </c>
      <c r="E15" s="5">
        <v>12.219235015458185</v>
      </c>
      <c r="F15" s="5">
        <v>9.6545220057535008</v>
      </c>
      <c r="G15" s="5">
        <v>2.9067181402746018</v>
      </c>
      <c r="H15" s="5">
        <v>11.564861030992363</v>
      </c>
      <c r="I15" s="5">
        <v>0.55694111363769927</v>
      </c>
      <c r="J15" s="5">
        <v>11.724050133921287</v>
      </c>
      <c r="K15" s="5">
        <v>3.4477367053398691</v>
      </c>
      <c r="L15" s="5">
        <v>-1.6869570930505136</v>
      </c>
      <c r="M15" s="5">
        <v>79.547612525044102</v>
      </c>
      <c r="N15" s="5">
        <v>0.97251496843478136</v>
      </c>
      <c r="O15" s="5">
        <v>13.932663791940536</v>
      </c>
      <c r="P15" s="5">
        <v>4.6623984430928527</v>
      </c>
      <c r="Q15" s="5">
        <v>97.39068814030243</v>
      </c>
      <c r="R15" s="5">
        <v>24.261493711052122</v>
      </c>
      <c r="S15" s="5">
        <v>6.2988437117866525</v>
      </c>
      <c r="T15" s="5">
        <v>1.9981633125486498</v>
      </c>
      <c r="U15" s="5">
        <v>243.06169933465347</v>
      </c>
      <c r="V15" s="5">
        <v>-2.6635738965575091</v>
      </c>
      <c r="W15" s="5">
        <v>176.93830066534656</v>
      </c>
      <c r="X15" s="5">
        <v>6.348762375093151</v>
      </c>
      <c r="Y15" s="5">
        <v>59.316105021316908</v>
      </c>
      <c r="Z15" s="5">
        <v>-17.912340489983794</v>
      </c>
      <c r="AA15" s="5">
        <v>20.231507503727165</v>
      </c>
      <c r="AB15" s="5">
        <v>11.564876628446518</v>
      </c>
      <c r="AC15" s="5">
        <v>1.1564876628446512</v>
      </c>
      <c r="AD15" s="5">
        <v>11.724102114170838</v>
      </c>
      <c r="AE15" s="5">
        <v>1.1724102114170842</v>
      </c>
      <c r="AF15" s="5">
        <v>36.111422879864755</v>
      </c>
      <c r="AG15" s="5">
        <v>25.166644693086226</v>
      </c>
      <c r="AH15" s="5">
        <v>37.112404916528938</v>
      </c>
      <c r="AI15" s="5">
        <v>0.14229121168967196</v>
      </c>
      <c r="AJ15" s="5">
        <v>4.7289268191485191E-2</v>
      </c>
      <c r="AK15" s="5">
        <v>0.30433142939016516</v>
      </c>
      <c r="AL15" s="5">
        <v>1.2243297603501568</v>
      </c>
      <c r="AM15" s="5">
        <v>1.2928602400278415E-2</v>
      </c>
      <c r="AN15" s="5">
        <v>9.7635565990481801E-2</v>
      </c>
      <c r="AO15" s="5">
        <v>0.11991268149381032</v>
      </c>
      <c r="AP15" s="5">
        <v>4.4999484841533084</v>
      </c>
      <c r="AQ15" s="5">
        <v>13.37463714311885</v>
      </c>
      <c r="AR15" s="5">
        <v>13.745457038350512</v>
      </c>
      <c r="AS15" s="5">
        <v>2.0005939295419966</v>
      </c>
      <c r="AU15" s="12">
        <f t="shared" si="0"/>
        <v>131.95923367460864</v>
      </c>
      <c r="AV15" s="12">
        <f t="shared" si="1"/>
        <v>840.24945040763851</v>
      </c>
      <c r="AW15" s="13">
        <f t="shared" si="2"/>
        <v>0.8429523118276484</v>
      </c>
    </row>
    <row r="16" spans="1:49" x14ac:dyDescent="0.35">
      <c r="A16" s="5">
        <v>420</v>
      </c>
      <c r="B16" s="5">
        <v>70</v>
      </c>
      <c r="C16" s="5">
        <v>300</v>
      </c>
      <c r="D16" s="5">
        <v>-3.782699789949314</v>
      </c>
      <c r="E16" s="5">
        <v>12.269082689322703</v>
      </c>
      <c r="F16" s="5">
        <v>7.3177333479797158</v>
      </c>
      <c r="G16" s="5">
        <v>2.2757852113458021</v>
      </c>
      <c r="H16" s="5">
        <v>11.100386524703211</v>
      </c>
      <c r="I16" s="5">
        <v>0.55085008645513855</v>
      </c>
      <c r="J16" s="5">
        <v>9.8883365207616087</v>
      </c>
      <c r="K16" s="5">
        <v>2.9478368447655465</v>
      </c>
      <c r="L16" s="5">
        <v>-1.5325408509271434</v>
      </c>
      <c r="M16" s="5">
        <v>79.606266293104795</v>
      </c>
      <c r="N16" s="5">
        <v>0.97907213117372582</v>
      </c>
      <c r="O16" s="5">
        <v>13.929973073707412</v>
      </c>
      <c r="P16" s="5">
        <v>4.203005881716023</v>
      </c>
      <c r="Q16" s="5">
        <v>98.012511225306028</v>
      </c>
      <c r="R16" s="5">
        <v>21.96786262011911</v>
      </c>
      <c r="S16" s="5">
        <v>6.3069540830976081</v>
      </c>
      <c r="T16" s="5">
        <v>1.8111294116567436</v>
      </c>
      <c r="U16" s="5">
        <v>242.38122248158908</v>
      </c>
      <c r="V16" s="5">
        <v>-2.3912288456096462</v>
      </c>
      <c r="W16" s="5">
        <v>177.61877751841084</v>
      </c>
      <c r="X16" s="5">
        <v>5.7349530392518018</v>
      </c>
      <c r="Y16" s="5">
        <v>59.3693391362998</v>
      </c>
      <c r="Z16" s="5">
        <v>-16.232518256747511</v>
      </c>
      <c r="AA16" s="5">
        <v>20.236927156805002</v>
      </c>
      <c r="AB16" s="5">
        <v>11.100402979295692</v>
      </c>
      <c r="AC16" s="5">
        <v>1.1100402979295709</v>
      </c>
      <c r="AD16" s="5">
        <v>9.8883875096496769</v>
      </c>
      <c r="AE16" s="5">
        <v>0.98883875096496832</v>
      </c>
      <c r="AF16" s="5">
        <v>33.269016869409413</v>
      </c>
      <c r="AG16" s="5">
        <v>14.458289765076293</v>
      </c>
      <c r="AH16" s="5">
        <v>26.400383769913507</v>
      </c>
      <c r="AI16" s="5">
        <v>0.11743407298802465</v>
      </c>
      <c r="AJ16" s="5">
        <v>4.7929111902053068E-2</v>
      </c>
      <c r="AK16" s="5">
        <v>0.24731361818435274</v>
      </c>
      <c r="AL16" s="5">
        <v>1.0037809352405669</v>
      </c>
      <c r="AM16" s="5">
        <v>1.062156679582052E-2</v>
      </c>
      <c r="AN16" s="5">
        <v>7.8690232776660027E-2</v>
      </c>
      <c r="AO16" s="5">
        <v>9.7846816928209832E-2</v>
      </c>
      <c r="AP16" s="5">
        <v>3.6955124516028683</v>
      </c>
      <c r="AQ16" s="5">
        <v>12.321894630275668</v>
      </c>
      <c r="AR16" s="5">
        <v>9.7780207540995754</v>
      </c>
      <c r="AS16" s="5">
        <v>1.8135532238815597</v>
      </c>
      <c r="AU16" s="12">
        <f t="shared" si="0"/>
        <v>101.52673459519301</v>
      </c>
      <c r="AV16" s="12">
        <f t="shared" si="1"/>
        <v>761.69235403025505</v>
      </c>
      <c r="AW16" s="13">
        <f t="shared" si="2"/>
        <v>0.86670900126803652</v>
      </c>
    </row>
    <row r="17" spans="1:49" x14ac:dyDescent="0.35">
      <c r="A17" s="5">
        <v>420</v>
      </c>
      <c r="B17" s="5">
        <v>70</v>
      </c>
      <c r="C17" s="5">
        <v>200</v>
      </c>
      <c r="D17" s="5">
        <v>-5.9954989795956406</v>
      </c>
      <c r="E17" s="5">
        <v>12.328101975185415</v>
      </c>
      <c r="F17" s="5">
        <v>4.6061095155159908</v>
      </c>
      <c r="G17" s="5">
        <v>1.5436467706966626</v>
      </c>
      <c r="H17" s="5">
        <v>10.601556689948673</v>
      </c>
      <c r="I17" s="5">
        <v>0.54351232212910872</v>
      </c>
      <c r="J17" s="5">
        <v>7.7727248770971507</v>
      </c>
      <c r="K17" s="5">
        <v>2.3700390027348335</v>
      </c>
      <c r="L17" s="5">
        <v>-1.3079680858521032</v>
      </c>
      <c r="M17" s="5">
        <v>79.668860513090095</v>
      </c>
      <c r="N17" s="5">
        <v>0.9846376630176229</v>
      </c>
      <c r="O17" s="5">
        <v>13.931771763489929</v>
      </c>
      <c r="P17" s="5">
        <v>3.7317250923750813</v>
      </c>
      <c r="Q17" s="5">
        <v>97.350035036237358</v>
      </c>
      <c r="R17" s="5">
        <v>19.358987887435042</v>
      </c>
      <c r="S17" s="5">
        <v>6.3256473510427726</v>
      </c>
      <c r="T17" s="5">
        <v>1.6056463229230682</v>
      </c>
      <c r="U17" s="5">
        <v>242.98110445067249</v>
      </c>
      <c r="V17" s="5">
        <v>-2.1254191473630004</v>
      </c>
      <c r="W17" s="5">
        <v>177.01889554932748</v>
      </c>
      <c r="X17" s="5">
        <v>5.0390990638131994</v>
      </c>
      <c r="Y17" s="5">
        <v>59.411441398557415</v>
      </c>
      <c r="Z17" s="5">
        <v>-14.319497283399008</v>
      </c>
      <c r="AA17" s="5">
        <v>20.257419114532677</v>
      </c>
      <c r="AB17" s="5">
        <v>10.601574661754025</v>
      </c>
      <c r="AC17" s="5">
        <v>1.0601574661754056</v>
      </c>
      <c r="AD17" s="5">
        <v>7.7727755626633925</v>
      </c>
      <c r="AE17" s="5">
        <v>0.77727755626633976</v>
      </c>
      <c r="AF17" s="5">
        <v>30.346111147552776</v>
      </c>
      <c r="AG17" s="5">
        <v>5.728386114610279</v>
      </c>
      <c r="AH17" s="5">
        <v>16.312118044062128</v>
      </c>
      <c r="AI17" s="5">
        <v>8.5539025680380743E-2</v>
      </c>
      <c r="AJ17" s="5">
        <v>4.84755663716403E-2</v>
      </c>
      <c r="AK17" s="5">
        <v>0.19496081031086535</v>
      </c>
      <c r="AL17" s="5">
        <v>0.77952245701378176</v>
      </c>
      <c r="AM17" s="5">
        <v>8.3481337035006264E-3</v>
      </c>
      <c r="AN17" s="5">
        <v>6.216811873911568E-2</v>
      </c>
      <c r="AO17" s="5">
        <v>7.5542745140396106E-2</v>
      </c>
      <c r="AP17" s="5">
        <v>2.8757982343510338</v>
      </c>
      <c r="AQ17" s="5">
        <v>11.239338530874498</v>
      </c>
      <c r="AR17" s="5">
        <v>6.0416039947537223</v>
      </c>
      <c r="AS17" s="5">
        <v>1.6080761339675751</v>
      </c>
      <c r="AU17" s="12">
        <f t="shared" si="0"/>
        <v>73.79791292316412</v>
      </c>
      <c r="AV17" s="12">
        <f t="shared" si="1"/>
        <v>675.39197626638156</v>
      </c>
      <c r="AW17" s="13">
        <f t="shared" si="2"/>
        <v>0.89073321046672083</v>
      </c>
    </row>
    <row r="18" spans="1:49" x14ac:dyDescent="0.35">
      <c r="A18" s="5">
        <v>360</v>
      </c>
      <c r="B18" s="5">
        <v>100</v>
      </c>
      <c r="C18" s="5">
        <v>500</v>
      </c>
      <c r="D18" s="5">
        <v>8.9038223927411853</v>
      </c>
      <c r="E18" s="5">
        <v>13.001035592501983</v>
      </c>
      <c r="F18" s="5">
        <v>13.570575911381541</v>
      </c>
      <c r="G18" s="5">
        <v>3.9640512799666681</v>
      </c>
      <c r="H18" s="5">
        <v>4.6667102304566397</v>
      </c>
      <c r="I18" s="5">
        <v>0.42299156423286982</v>
      </c>
      <c r="J18" s="5">
        <v>12.361971964717281</v>
      </c>
      <c r="K18" s="5">
        <v>3.6175139680031783</v>
      </c>
      <c r="L18" s="5">
        <v>-2.4176117888519748</v>
      </c>
      <c r="M18" s="5">
        <v>79.526011292151324</v>
      </c>
      <c r="N18" s="5">
        <v>0.878721634833039</v>
      </c>
      <c r="O18" s="5">
        <v>13.890700431721047</v>
      </c>
      <c r="P18" s="5">
        <v>3.3890094596358349</v>
      </c>
      <c r="Q18" s="5">
        <v>179.52702925146465</v>
      </c>
      <c r="R18" s="5">
        <v>17.907475896520541</v>
      </c>
      <c r="S18" s="5">
        <v>10.921787407503528</v>
      </c>
      <c r="T18" s="5">
        <v>2.5019105995480979</v>
      </c>
      <c r="U18" s="5">
        <v>100.94695945638402</v>
      </c>
      <c r="V18" s="5">
        <v>-0.88867992089860903</v>
      </c>
      <c r="W18" s="5">
        <v>259.05304054361602</v>
      </c>
      <c r="X18" s="5">
        <v>5.8060741132532794</v>
      </c>
      <c r="Y18" s="5">
        <v>54.713523452926772</v>
      </c>
      <c r="Z18" s="5">
        <v>-12.101102772911121</v>
      </c>
      <c r="AA18" s="5">
        <v>24.812487839224548</v>
      </c>
      <c r="AB18" s="5">
        <v>4.6667327498619455</v>
      </c>
      <c r="AC18" s="5">
        <v>0.46667327498619532</v>
      </c>
      <c r="AD18" s="5">
        <v>12.362021511825558</v>
      </c>
      <c r="AE18" s="5">
        <v>1.2362021511825558</v>
      </c>
      <c r="AF18" s="5">
        <v>5.8801097812631395</v>
      </c>
      <c r="AG18" s="5">
        <v>49.723343252973613</v>
      </c>
      <c r="AH18" s="5">
        <v>41.260954731243132</v>
      </c>
      <c r="AI18" s="5">
        <v>0.29224233807980227</v>
      </c>
      <c r="AJ18" s="5">
        <v>3.8607585576182435E-2</v>
      </c>
      <c r="AK18" s="5">
        <v>0.16079539164501644</v>
      </c>
      <c r="AL18" s="5">
        <v>0.66700960140768539</v>
      </c>
      <c r="AM18" s="5">
        <v>2.0269040574900778E-2</v>
      </c>
      <c r="AN18" s="5">
        <v>1.0868491834410261E-2</v>
      </c>
      <c r="AO18" s="5">
        <v>0.10028872741055482</v>
      </c>
      <c r="AP18" s="5">
        <v>2.0537745536958147</v>
      </c>
      <c r="AQ18" s="5">
        <v>2.177839455863404</v>
      </c>
      <c r="AR18" s="5">
        <v>15.281957585883786</v>
      </c>
      <c r="AS18" s="5">
        <v>2.5029200691426623</v>
      </c>
      <c r="AU18" s="12">
        <f t="shared" si="0"/>
        <v>117.66806053745145</v>
      </c>
      <c r="AV18" s="12">
        <f t="shared" si="1"/>
        <v>901.0512248913584</v>
      </c>
      <c r="AW18" s="13">
        <f t="shared" si="2"/>
        <v>0.86941024296189273</v>
      </c>
    </row>
    <row r="19" spans="1:49" x14ac:dyDescent="0.35">
      <c r="A19" s="5">
        <v>360</v>
      </c>
      <c r="B19" s="5">
        <v>100</v>
      </c>
      <c r="C19" s="5">
        <v>400</v>
      </c>
      <c r="D19" s="5">
        <v>7.0055417181789155</v>
      </c>
      <c r="E19" s="5">
        <v>13.03032319404673</v>
      </c>
      <c r="F19" s="5">
        <v>11.419677441260406</v>
      </c>
      <c r="G19" s="5">
        <v>3.3833086975275344</v>
      </c>
      <c r="H19" s="5">
        <v>4.4140869829967198</v>
      </c>
      <c r="I19" s="5">
        <v>0.41951137803971483</v>
      </c>
      <c r="J19" s="5">
        <v>10.726794663841618</v>
      </c>
      <c r="K19" s="5">
        <v>3.1715468685634423</v>
      </c>
      <c r="L19" s="5">
        <v>-2.1584643232493432</v>
      </c>
      <c r="M19" s="5">
        <v>79.588869629635909</v>
      </c>
      <c r="N19" s="5">
        <v>0.88191421569462858</v>
      </c>
      <c r="O19" s="5">
        <v>13.891245778970269</v>
      </c>
      <c r="P19" s="5">
        <v>3.0361506306697335</v>
      </c>
      <c r="Q19" s="5">
        <v>178.91648179567326</v>
      </c>
      <c r="R19" s="5">
        <v>16.02287042340917</v>
      </c>
      <c r="S19" s="5">
        <v>10.924383167555517</v>
      </c>
      <c r="T19" s="5">
        <v>2.245226348001065</v>
      </c>
      <c r="U19" s="5">
        <v>101.49464857469083</v>
      </c>
      <c r="V19" s="5">
        <v>-0.79249438969717367</v>
      </c>
      <c r="W19" s="5">
        <v>258.50535142530919</v>
      </c>
      <c r="X19" s="5">
        <v>5.1940672215122445</v>
      </c>
      <c r="Y19" s="5">
        <v>54.773240683110139</v>
      </c>
      <c r="Z19" s="5">
        <v>-10.828503625779561</v>
      </c>
      <c r="AA19" s="5">
        <v>24.815628946525763</v>
      </c>
      <c r="AB19" s="5">
        <v>4.4141120688382482</v>
      </c>
      <c r="AC19" s="5">
        <v>0.4414112068838239</v>
      </c>
      <c r="AD19" s="5">
        <v>10.726844138876311</v>
      </c>
      <c r="AE19" s="5">
        <v>1.0726844138876321</v>
      </c>
      <c r="AF19" s="5">
        <v>5.2607242512344925</v>
      </c>
      <c r="AG19" s="5">
        <v>35.210438872856592</v>
      </c>
      <c r="AH19" s="5">
        <v>31.067313415259676</v>
      </c>
      <c r="AI19" s="5">
        <v>0.23294841173701231</v>
      </c>
      <c r="AJ19" s="5">
        <v>3.8888634192213598E-2</v>
      </c>
      <c r="AK19" s="5">
        <v>0.12905494912962709</v>
      </c>
      <c r="AL19" s="5">
        <v>0.53400334333914945</v>
      </c>
      <c r="AM19" s="5">
        <v>1.6323372002645598E-2</v>
      </c>
      <c r="AN19" s="5">
        <v>8.643127922653919E-3</v>
      </c>
      <c r="AO19" s="5">
        <v>8.0260544547224089E-2</v>
      </c>
      <c r="AP19" s="5">
        <v>1.6445222830986335</v>
      </c>
      <c r="AQ19" s="5">
        <v>1.9484385356263481</v>
      </c>
      <c r="AR19" s="5">
        <v>11.506518517974508</v>
      </c>
      <c r="AS19" s="5">
        <v>2.2462412944868126</v>
      </c>
      <c r="AU19" s="12">
        <f t="shared" si="0"/>
        <v>87.678078258920806</v>
      </c>
      <c r="AV19" s="12">
        <f t="shared" si="1"/>
        <v>808.6468660152525</v>
      </c>
      <c r="AW19" s="13">
        <f t="shared" si="2"/>
        <v>0.89157432997796715</v>
      </c>
    </row>
    <row r="20" spans="1:49" x14ac:dyDescent="0.35">
      <c r="A20" s="5">
        <v>360</v>
      </c>
      <c r="B20" s="5">
        <v>100</v>
      </c>
      <c r="C20" s="5">
        <v>300</v>
      </c>
      <c r="D20" s="5">
        <v>4.8281473442653438</v>
      </c>
      <c r="E20" s="5">
        <v>13.063874878069578</v>
      </c>
      <c r="F20" s="5">
        <v>8.955772394028509</v>
      </c>
      <c r="G20" s="5">
        <v>2.7180543391448446</v>
      </c>
      <c r="H20" s="5">
        <v>4.1275734456442299</v>
      </c>
      <c r="I20" s="5">
        <v>0.41488948793995534</v>
      </c>
      <c r="J20" s="5">
        <v>8.8572584281564151</v>
      </c>
      <c r="K20" s="5">
        <v>2.6599731108109066</v>
      </c>
      <c r="L20" s="5">
        <v>-1.8565552768538642</v>
      </c>
      <c r="M20" s="5">
        <v>79.618072218922322</v>
      </c>
      <c r="N20" s="5">
        <v>0.88506466219584956</v>
      </c>
      <c r="O20" s="5">
        <v>13.891524235263722</v>
      </c>
      <c r="P20" s="5">
        <v>2.6358186678186422</v>
      </c>
      <c r="Q20" s="5">
        <v>179.02692419331169</v>
      </c>
      <c r="R20" s="5">
        <v>13.869969210018569</v>
      </c>
      <c r="S20" s="5">
        <v>10.894484141469016</v>
      </c>
      <c r="T20" s="5">
        <v>1.9539765765717623</v>
      </c>
      <c r="U20" s="5">
        <v>101.35500358776599</v>
      </c>
      <c r="V20" s="5">
        <v>-0.68341499117512439</v>
      </c>
      <c r="W20" s="5">
        <v>258.64499641223409</v>
      </c>
      <c r="X20" s="5">
        <v>4.4918256240340835</v>
      </c>
      <c r="Y20" s="5">
        <v>54.832063842189598</v>
      </c>
      <c r="Z20" s="5">
        <v>-9.3778431254298305</v>
      </c>
      <c r="AA20" s="5">
        <v>24.786008376732724</v>
      </c>
      <c r="AB20" s="5">
        <v>4.127598692541862</v>
      </c>
      <c r="AC20" s="5">
        <v>0.41275986925418728</v>
      </c>
      <c r="AD20" s="5">
        <v>8.8573058552808455</v>
      </c>
      <c r="AE20" s="5">
        <v>0.88573058552808503</v>
      </c>
      <c r="AF20" s="5">
        <v>4.5999528882805931</v>
      </c>
      <c r="AG20" s="5">
        <v>21.655581976883649</v>
      </c>
      <c r="AH20" s="5">
        <v>21.181777253049919</v>
      </c>
      <c r="AI20" s="5">
        <v>0.17233987480069643</v>
      </c>
      <c r="AJ20" s="5">
        <v>3.9166972813392667E-2</v>
      </c>
      <c r="AK20" s="5">
        <v>9.7265560694697384E-2</v>
      </c>
      <c r="AL20" s="5">
        <v>0.40014217544467529</v>
      </c>
      <c r="AM20" s="5">
        <v>1.2363126828656909E-2</v>
      </c>
      <c r="AN20" s="5">
        <v>6.4275808808131798E-3</v>
      </c>
      <c r="AO20" s="5">
        <v>6.0025079874269319E-2</v>
      </c>
      <c r="AP20" s="5">
        <v>1.2334137821345306</v>
      </c>
      <c r="AQ20" s="5">
        <v>1.7037070966673289</v>
      </c>
      <c r="AR20" s="5">
        <v>7.8451867013992356</v>
      </c>
      <c r="AS20" s="5">
        <v>1.9549901266076402</v>
      </c>
      <c r="AU20" s="12">
        <f t="shared" si="0"/>
        <v>59.007350069752469</v>
      </c>
      <c r="AV20" s="12">
        <f t="shared" si="1"/>
        <v>703.79644557875042</v>
      </c>
      <c r="AW20" s="13">
        <f t="shared" si="2"/>
        <v>0.91615849946325156</v>
      </c>
    </row>
    <row r="21" spans="1:49" x14ac:dyDescent="0.35">
      <c r="A21" s="5">
        <v>360</v>
      </c>
      <c r="B21" s="5">
        <v>100</v>
      </c>
      <c r="C21" s="5">
        <v>200</v>
      </c>
      <c r="D21" s="5">
        <v>2.310356630453386</v>
      </c>
      <c r="E21" s="5">
        <v>13.102728598910943</v>
      </c>
      <c r="F21" s="5">
        <v>6.1051609943954306</v>
      </c>
      <c r="G21" s="5">
        <v>1.9483892681333712</v>
      </c>
      <c r="H21" s="5">
        <v>3.7947486258129755</v>
      </c>
      <c r="I21" s="5">
        <v>0.40929312366351334</v>
      </c>
      <c r="J21" s="5">
        <v>6.6982424081216934</v>
      </c>
      <c r="K21" s="5">
        <v>2.0673310562921112</v>
      </c>
      <c r="L21" s="5">
        <v>-1.4820337134505959</v>
      </c>
      <c r="M21" s="5">
        <v>79.664126062961216</v>
      </c>
      <c r="N21" s="5">
        <v>0.88975525688738022</v>
      </c>
      <c r="O21" s="5">
        <v>13.8914992133578</v>
      </c>
      <c r="P21" s="5">
        <v>2.1991262335340509</v>
      </c>
      <c r="Q21" s="5">
        <v>179.12078295884606</v>
      </c>
      <c r="R21" s="5">
        <v>11.382818427601984</v>
      </c>
      <c r="S21" s="5">
        <v>10.819076422310644</v>
      </c>
      <c r="T21" s="5">
        <v>1.636276478868304</v>
      </c>
      <c r="U21" s="5">
        <v>101.21509097819273</v>
      </c>
      <c r="V21" s="5">
        <v>-0.56442545284618306</v>
      </c>
      <c r="W21" s="5">
        <v>258.78490902180727</v>
      </c>
      <c r="X21" s="5">
        <v>3.6806104114803735</v>
      </c>
      <c r="Y21" s="5">
        <v>54.953550427292768</v>
      </c>
      <c r="Z21" s="5">
        <v>-7.7019055863736918</v>
      </c>
      <c r="AA21" s="5">
        <v>24.710575635668427</v>
      </c>
      <c r="AB21" s="5">
        <v>3.7947749078334394</v>
      </c>
      <c r="AC21" s="5">
        <v>0.37947749078334664</v>
      </c>
      <c r="AD21" s="5">
        <v>6.6982882628811655</v>
      </c>
      <c r="AE21" s="5">
        <v>0.6698288262881168</v>
      </c>
      <c r="AF21" s="5">
        <v>3.888031625939556</v>
      </c>
      <c r="AG21" s="5">
        <v>10.063707507221599</v>
      </c>
      <c r="AH21" s="5">
        <v>12.113941866649174</v>
      </c>
      <c r="AI21" s="5">
        <v>0.10982119639020815</v>
      </c>
      <c r="AJ21" s="5">
        <v>3.9583220857936398E-2</v>
      </c>
      <c r="AK21" s="5">
        <v>6.7706186674247257E-2</v>
      </c>
      <c r="AL21" s="5">
        <v>0.26950259513997099</v>
      </c>
      <c r="AM21" s="5">
        <v>8.6696785066781214E-3</v>
      </c>
      <c r="AN21" s="5">
        <v>4.3842138350551826E-3</v>
      </c>
      <c r="AO21" s="5">
        <v>4.030200667826573E-2</v>
      </c>
      <c r="AP21" s="5">
        <v>0.83195387900133533</v>
      </c>
      <c r="AQ21" s="5">
        <v>1.4400316601122289</v>
      </c>
      <c r="AR21" s="5">
        <v>4.4867065652651581</v>
      </c>
      <c r="AS21" s="5">
        <v>1.637288629778086</v>
      </c>
      <c r="AU21" s="12">
        <f t="shared" si="0"/>
        <v>33.364342202271416</v>
      </c>
      <c r="AV21" s="12">
        <f t="shared" si="1"/>
        <v>589.42390672011095</v>
      </c>
      <c r="AW21" s="13">
        <f t="shared" si="2"/>
        <v>0.94339499667068227</v>
      </c>
    </row>
    <row r="22" spans="1:49" x14ac:dyDescent="0.35">
      <c r="A22" s="5">
        <v>360</v>
      </c>
      <c r="B22" s="5">
        <v>90</v>
      </c>
      <c r="C22" s="5">
        <v>500</v>
      </c>
      <c r="D22" s="5">
        <v>0.76008197566660141</v>
      </c>
      <c r="E22" s="5">
        <v>12.266802656747812</v>
      </c>
      <c r="F22" s="5">
        <v>11.897930340802956</v>
      </c>
      <c r="G22" s="5">
        <v>3.5124385539906182</v>
      </c>
      <c r="H22" s="5">
        <v>11.137810758997267</v>
      </c>
      <c r="I22" s="5">
        <v>0.55277912019758724</v>
      </c>
      <c r="J22" s="5">
        <v>13.223610766554652</v>
      </c>
      <c r="K22" s="5">
        <v>3.8566341199757757</v>
      </c>
      <c r="L22" s="5">
        <v>-3.5338407451044933</v>
      </c>
      <c r="M22" s="5">
        <v>79.42986965787189</v>
      </c>
      <c r="N22" s="5">
        <v>0.91855961345664994</v>
      </c>
      <c r="O22" s="5">
        <v>13.933364313411971</v>
      </c>
      <c r="P22" s="5">
        <v>4.7621810147004542</v>
      </c>
      <c r="Q22" s="5">
        <v>174.23148405168075</v>
      </c>
      <c r="R22" s="5">
        <v>25.280045884912379</v>
      </c>
      <c r="S22" s="5">
        <v>11.195508144346936</v>
      </c>
      <c r="T22" s="5">
        <v>3.4174337637777707</v>
      </c>
      <c r="U22" s="5">
        <v>106.33864629044736</v>
      </c>
      <c r="V22" s="5">
        <v>-1.3462204779968732</v>
      </c>
      <c r="W22" s="5">
        <v>253.66135370955266</v>
      </c>
      <c r="X22" s="5">
        <v>8.2954787498329452</v>
      </c>
      <c r="Y22" s="5">
        <v>54.300997200112981</v>
      </c>
      <c r="Z22" s="5">
        <v>-16.984275413832005</v>
      </c>
      <c r="AA22" s="5">
        <v>25.128872457758895</v>
      </c>
      <c r="AB22" s="5">
        <v>11.13782536466571</v>
      </c>
      <c r="AC22" s="5">
        <v>1.1137825364665721</v>
      </c>
      <c r="AD22" s="5">
        <v>13.223660906790018</v>
      </c>
      <c r="AE22" s="5">
        <v>1.322366090679002</v>
      </c>
      <c r="AF22" s="5">
        <v>33.493723695873527</v>
      </c>
      <c r="AG22" s="5">
        <v>38.221401526541882</v>
      </c>
      <c r="AH22" s="5">
        <v>47.213248060441835</v>
      </c>
      <c r="AI22" s="5">
        <v>0.62440152058803411</v>
      </c>
      <c r="AJ22" s="5">
        <v>4.2187588173681512E-2</v>
      </c>
      <c r="AK22" s="5">
        <v>0.31749715223482827</v>
      </c>
      <c r="AL22" s="5">
        <v>1.3292878974820126</v>
      </c>
      <c r="AM22" s="5">
        <v>3.7817240001284017E-2</v>
      </c>
      <c r="AN22" s="5">
        <v>2.4940831775441881E-2</v>
      </c>
      <c r="AO22" s="5">
        <v>0.20472452887456666</v>
      </c>
      <c r="AP22" s="5">
        <v>4.0457301989438994</v>
      </c>
      <c r="AQ22" s="5">
        <v>12.405115385379087</v>
      </c>
      <c r="AR22" s="5">
        <v>17.486520777776658</v>
      </c>
      <c r="AS22" s="5">
        <v>3.4184971502406749</v>
      </c>
      <c r="AU22" s="12">
        <f t="shared" si="0"/>
        <v>155.44659640408673</v>
      </c>
      <c r="AV22" s="12">
        <f t="shared" si="1"/>
        <v>1230.658974086643</v>
      </c>
      <c r="AW22" s="13">
        <f t="shared" si="2"/>
        <v>0.87368832497284288</v>
      </c>
    </row>
    <row r="23" spans="1:49" x14ac:dyDescent="0.35">
      <c r="A23" s="5">
        <v>360</v>
      </c>
      <c r="B23" s="5">
        <v>90</v>
      </c>
      <c r="C23" s="5">
        <v>400</v>
      </c>
      <c r="D23" s="5">
        <v>-0.56899655806092608</v>
      </c>
      <c r="E23" s="5">
        <v>12.316066812182012</v>
      </c>
      <c r="F23" s="5">
        <v>9.9061700187942137</v>
      </c>
      <c r="G23" s="5">
        <v>2.9746624919349842</v>
      </c>
      <c r="H23" s="5">
        <v>10.475127126620485</v>
      </c>
      <c r="I23" s="5">
        <v>0.52570056707593638</v>
      </c>
      <c r="J23" s="5">
        <v>11.538719257053485</v>
      </c>
      <c r="K23" s="5">
        <v>3.394000795043842</v>
      </c>
      <c r="L23" s="5">
        <v>-3.1552834492560193</v>
      </c>
      <c r="M23" s="5">
        <v>79.425584268552868</v>
      </c>
      <c r="N23" s="5">
        <v>0.86159912295092145</v>
      </c>
      <c r="O23" s="5">
        <v>13.889281750136938</v>
      </c>
      <c r="P23" s="5">
        <v>4.3168938361460922</v>
      </c>
      <c r="Q23" s="5">
        <v>178.65234328654722</v>
      </c>
      <c r="R23" s="5">
        <v>22.875509180201526</v>
      </c>
      <c r="S23" s="5">
        <v>11.02632444083428</v>
      </c>
      <c r="T23" s="5">
        <v>3.1750016783417503</v>
      </c>
      <c r="U23" s="5">
        <v>101.92207244489995</v>
      </c>
      <c r="V23" s="5">
        <v>-1.1434537163554443</v>
      </c>
      <c r="W23" s="5">
        <v>258.07792755510013</v>
      </c>
      <c r="X23" s="5">
        <v>7.4716321856213375</v>
      </c>
      <c r="Y23" s="5">
        <v>54.509978077581671</v>
      </c>
      <c r="Z23" s="5">
        <v>-15.403581050861318</v>
      </c>
      <c r="AA23" s="5">
        <v>24.915606190971197</v>
      </c>
      <c r="AB23" s="5">
        <v>10.475143708789926</v>
      </c>
      <c r="AC23" s="5">
        <v>1.0475143708789916</v>
      </c>
      <c r="AD23" s="5">
        <v>11.538766348460699</v>
      </c>
      <c r="AE23" s="5">
        <v>1.1538766348460709</v>
      </c>
      <c r="AF23" s="5">
        <v>29.626637846092297</v>
      </c>
      <c r="AG23" s="5">
        <v>26.495695199139487</v>
      </c>
      <c r="AH23" s="5">
        <v>35.948351365136176</v>
      </c>
      <c r="AI23" s="5">
        <v>0.49779068225744816</v>
      </c>
      <c r="AJ23" s="5">
        <v>3.7117652433489849E-2</v>
      </c>
      <c r="AK23" s="5">
        <v>0.26089801349578573</v>
      </c>
      <c r="AL23" s="5">
        <v>1.0884409541272473</v>
      </c>
      <c r="AM23" s="5">
        <v>3.264205831943616E-2</v>
      </c>
      <c r="AN23" s="5">
        <v>1.7993503334200255E-2</v>
      </c>
      <c r="AO23" s="5">
        <v>0.16608023036370775</v>
      </c>
      <c r="AP23" s="5">
        <v>3.3277160863961157</v>
      </c>
      <c r="AQ23" s="5">
        <v>10.972863571980117</v>
      </c>
      <c r="AR23" s="5">
        <v>13.314312884436909</v>
      </c>
      <c r="AS23" s="5">
        <v>3.1760208990662</v>
      </c>
      <c r="AU23" s="12">
        <f t="shared" si="0"/>
        <v>121.78654004751243</v>
      </c>
      <c r="AV23" s="12">
        <f t="shared" si="1"/>
        <v>1143.3675236638319</v>
      </c>
      <c r="AW23" s="13">
        <f t="shared" si="2"/>
        <v>0.89348434556085965</v>
      </c>
    </row>
    <row r="24" spans="1:49" x14ac:dyDescent="0.35">
      <c r="A24" s="5">
        <v>360</v>
      </c>
      <c r="B24" s="5">
        <v>90</v>
      </c>
      <c r="C24" s="5">
        <v>300</v>
      </c>
      <c r="D24" s="5">
        <v>-2.2569334620078956</v>
      </c>
      <c r="E24" s="5">
        <v>12.386388114632069</v>
      </c>
      <c r="F24" s="5">
        <v>7.5987898274599459</v>
      </c>
      <c r="G24" s="5">
        <v>2.351669827744566</v>
      </c>
      <c r="H24" s="5">
        <v>9.8556801180778599</v>
      </c>
      <c r="I24" s="5">
        <v>0.51677256852147591</v>
      </c>
      <c r="J24" s="5">
        <v>9.6785975305884726</v>
      </c>
      <c r="K24" s="5">
        <v>2.886147849985532</v>
      </c>
      <c r="L24" s="5">
        <v>-2.8369420310166698</v>
      </c>
      <c r="M24" s="5">
        <v>79.47788663005538</v>
      </c>
      <c r="N24" s="5">
        <v>0.85748093907948275</v>
      </c>
      <c r="O24" s="5">
        <v>13.88873045905097</v>
      </c>
      <c r="P24" s="5">
        <v>3.8611083127268402</v>
      </c>
      <c r="Q24" s="5">
        <v>177.83280380974932</v>
      </c>
      <c r="R24" s="5">
        <v>20.391821919833102</v>
      </c>
      <c r="S24" s="5">
        <v>11.211439325407948</v>
      </c>
      <c r="T24" s="5">
        <v>2.84100952783501</v>
      </c>
      <c r="U24" s="5">
        <v>102.6893095601953</v>
      </c>
      <c r="V24" s="5">
        <v>-1.0216449987006255</v>
      </c>
      <c r="W24" s="5">
        <v>257.31069043980472</v>
      </c>
      <c r="X24" s="5">
        <v>6.6975065665750542</v>
      </c>
      <c r="Y24" s="5">
        <v>54.37771684559646</v>
      </c>
      <c r="Z24" s="5">
        <v>-13.694022577787438</v>
      </c>
      <c r="AA24" s="5">
        <v>25.100169784458895</v>
      </c>
      <c r="AB24" s="5">
        <v>9.8556977589742338</v>
      </c>
      <c r="AC24" s="5">
        <v>0.98556977589742445</v>
      </c>
      <c r="AD24" s="5">
        <v>9.6786432217793799</v>
      </c>
      <c r="AE24" s="5">
        <v>0.96786432217793861</v>
      </c>
      <c r="AF24" s="5">
        <v>26.226296259266313</v>
      </c>
      <c r="AG24" s="5">
        <v>15.590233847315364</v>
      </c>
      <c r="AH24" s="5">
        <v>25.292317542960586</v>
      </c>
      <c r="AI24" s="5">
        <v>0.40241200436744934</v>
      </c>
      <c r="AJ24" s="5">
        <v>3.6763678044231578E-2</v>
      </c>
      <c r="AK24" s="5">
        <v>0.2087142036365163</v>
      </c>
      <c r="AL24" s="5">
        <v>0.86491891451718639</v>
      </c>
      <c r="AM24" s="5">
        <v>2.6135751872997753E-2</v>
      </c>
      <c r="AN24" s="5">
        <v>1.436410511780621E-2</v>
      </c>
      <c r="AO24" s="5">
        <v>0.13344836777271502</v>
      </c>
      <c r="AP24" s="5">
        <v>2.6300557174123531</v>
      </c>
      <c r="AQ24" s="5">
        <v>9.7134778316249744</v>
      </c>
      <c r="AR24" s="5">
        <v>9.3676134614495936</v>
      </c>
      <c r="AS24" s="5">
        <v>2.8420364209306119</v>
      </c>
      <c r="AU24" s="12">
        <f t="shared" si="0"/>
        <v>90.506751685358097</v>
      </c>
      <c r="AV24" s="12">
        <f t="shared" si="1"/>
        <v>1023.1331115350202</v>
      </c>
      <c r="AW24" s="13">
        <f t="shared" si="2"/>
        <v>0.91153961232906477</v>
      </c>
    </row>
    <row r="25" spans="1:49" x14ac:dyDescent="0.35">
      <c r="A25" s="5">
        <v>360</v>
      </c>
      <c r="B25" s="5">
        <v>90</v>
      </c>
      <c r="C25" s="5">
        <v>200</v>
      </c>
      <c r="D25" s="5">
        <v>-4.170577849089077</v>
      </c>
      <c r="E25" s="5">
        <v>12.467157522652247</v>
      </c>
      <c r="F25" s="5">
        <v>4.924237581909332</v>
      </c>
      <c r="G25" s="5">
        <v>1.6295407572637202</v>
      </c>
      <c r="H25" s="5">
        <v>9.0947676810153499</v>
      </c>
      <c r="I25" s="5">
        <v>0.50665412992687187</v>
      </c>
      <c r="J25" s="5">
        <v>7.5156184908931447</v>
      </c>
      <c r="K25" s="5">
        <v>2.294107138128159</v>
      </c>
      <c r="L25" s="5">
        <v>-2.3952008845861457</v>
      </c>
      <c r="M25" s="5">
        <v>79.568502444986592</v>
      </c>
      <c r="N25" s="5">
        <v>0.8671324861625479</v>
      </c>
      <c r="O25" s="5">
        <v>13.883290286514091</v>
      </c>
      <c r="P25" s="5">
        <v>3.3073164540234332</v>
      </c>
      <c r="Q25" s="5">
        <v>178.85061770429797</v>
      </c>
      <c r="R25" s="5">
        <v>17.477582655486366</v>
      </c>
      <c r="S25" s="5">
        <v>11.022210479436859</v>
      </c>
      <c r="T25" s="5">
        <v>2.4527318924333281</v>
      </c>
      <c r="U25" s="5">
        <v>101.58087985071548</v>
      </c>
      <c r="V25" s="5">
        <v>-0.85615294399309061</v>
      </c>
      <c r="W25" s="5">
        <v>258.41912014928459</v>
      </c>
      <c r="X25" s="5">
        <v>5.7019707085927882</v>
      </c>
      <c r="Y25" s="5">
        <v>54.663001679035624</v>
      </c>
      <c r="Z25" s="5">
        <v>-11.775314371884447</v>
      </c>
      <c r="AA25" s="5">
        <v>24.905500765950933</v>
      </c>
      <c r="AB25" s="5">
        <v>9.0947863393497457</v>
      </c>
      <c r="AC25" s="5">
        <v>0.90947863393497763</v>
      </c>
      <c r="AD25" s="5">
        <v>7.5156638299740717</v>
      </c>
      <c r="AE25" s="5">
        <v>0.75156638299740741</v>
      </c>
      <c r="AF25" s="5">
        <v>22.332995776343161</v>
      </c>
      <c r="AG25" s="5">
        <v>6.5469912560338317</v>
      </c>
      <c r="AH25" s="5">
        <v>15.250820751176837</v>
      </c>
      <c r="AI25" s="5">
        <v>0.28684936387611276</v>
      </c>
      <c r="AJ25" s="5">
        <v>3.7595937427922069E-2</v>
      </c>
      <c r="AK25" s="5">
        <v>0.15313678977875791</v>
      </c>
      <c r="AL25" s="5">
        <v>0.63536906259706416</v>
      </c>
      <c r="AM25" s="5">
        <v>1.9480036859945291E-2</v>
      </c>
      <c r="AN25" s="5">
        <v>1.0087446788277261E-2</v>
      </c>
      <c r="AO25" s="5">
        <v>9.6724598135909168E-2</v>
      </c>
      <c r="AP25" s="5">
        <v>1.9446788505078352</v>
      </c>
      <c r="AQ25" s="5">
        <v>8.2715138558422758</v>
      </c>
      <c r="AR25" s="5">
        <v>5.6485202805180537</v>
      </c>
      <c r="AS25" s="5">
        <v>2.4537477012318352</v>
      </c>
      <c r="AU25" s="12">
        <f t="shared" si="0"/>
        <v>61.234764005885978</v>
      </c>
      <c r="AV25" s="12">
        <f t="shared" si="1"/>
        <v>883.3491724434607</v>
      </c>
      <c r="AW25" s="13">
        <f t="shared" si="2"/>
        <v>0.93067886865563876</v>
      </c>
    </row>
    <row r="26" spans="1:49" x14ac:dyDescent="0.35">
      <c r="A26" s="5">
        <v>360</v>
      </c>
      <c r="B26" s="5">
        <v>80</v>
      </c>
      <c r="C26" s="5">
        <v>500</v>
      </c>
      <c r="D26" s="5">
        <v>0.45156116111712907</v>
      </c>
      <c r="E26" s="5">
        <v>12.225409365218013</v>
      </c>
      <c r="F26" s="5">
        <v>11.819504519015364</v>
      </c>
      <c r="G26" s="5">
        <v>3.4912636888370963</v>
      </c>
      <c r="H26" s="5">
        <v>11.367918524200956</v>
      </c>
      <c r="I26" s="5">
        <v>0.55924234091230929</v>
      </c>
      <c r="J26" s="5">
        <v>13.244025379161052</v>
      </c>
      <c r="K26" s="5">
        <v>3.8628931119678684</v>
      </c>
      <c r="L26" s="5">
        <v>-4.4496929927058408</v>
      </c>
      <c r="M26" s="5">
        <v>79.388175914987357</v>
      </c>
      <c r="N26" s="5">
        <v>0.5939497987108735</v>
      </c>
      <c r="O26" s="5">
        <v>13.921444656524855</v>
      </c>
      <c r="P26" s="5">
        <v>4.7226092146388234</v>
      </c>
      <c r="Q26" s="5">
        <v>161.80571855317029</v>
      </c>
      <c r="R26" s="5">
        <v>25.205937984416838</v>
      </c>
      <c r="S26" s="5">
        <v>13.998884809516538</v>
      </c>
      <c r="T26" s="5">
        <v>3.2385604415771647</v>
      </c>
      <c r="U26" s="5">
        <v>118.80610553184236</v>
      </c>
      <c r="V26" s="5">
        <v>-1.4852726509510219</v>
      </c>
      <c r="W26" s="5">
        <v>241.19389446815774</v>
      </c>
      <c r="X26" s="5">
        <v>9.1717875288801771</v>
      </c>
      <c r="Y26" s="5">
        <v>51.46784644894597</v>
      </c>
      <c r="Z26" s="5">
        <v>-16.033914980366831</v>
      </c>
      <c r="AA26" s="5">
        <v>27.920329466041373</v>
      </c>
      <c r="AB26" s="5">
        <v>11.367929503945295</v>
      </c>
      <c r="AC26" s="5">
        <v>1.1367929503945302</v>
      </c>
      <c r="AD26" s="5">
        <v>13.244058681760674</v>
      </c>
      <c r="AE26" s="5">
        <v>1.3244058681760673</v>
      </c>
      <c r="AF26" s="5">
        <v>34.891984324675235</v>
      </c>
      <c r="AG26" s="5">
        <v>37.719185510256644</v>
      </c>
      <c r="AH26" s="5">
        <v>47.359136225842754</v>
      </c>
      <c r="AI26" s="5">
        <v>0.98998838646677312</v>
      </c>
      <c r="AJ26" s="5">
        <v>1.7638818169434359E-2</v>
      </c>
      <c r="AK26" s="5">
        <v>0.31224252911868133</v>
      </c>
      <c r="AL26" s="5">
        <v>1.3215057641224766</v>
      </c>
      <c r="AM26" s="5">
        <v>3.3962029233090316E-2</v>
      </c>
      <c r="AN26" s="5">
        <v>3.0359241474982337E-2</v>
      </c>
      <c r="AO26" s="5">
        <v>0.25026201726289277</v>
      </c>
      <c r="AP26" s="5">
        <v>3.6056371751067875</v>
      </c>
      <c r="AQ26" s="5">
        <v>12.92298212066699</v>
      </c>
      <c r="AR26" s="5">
        <v>17.540509036592027</v>
      </c>
      <c r="AS26" s="5">
        <v>3.2397485026324842</v>
      </c>
      <c r="AU26" s="12">
        <f t="shared" si="0"/>
        <v>156.99539317898876</v>
      </c>
      <c r="AV26" s="12">
        <f t="shared" si="1"/>
        <v>1166.3094609476943</v>
      </c>
      <c r="AW26" s="13">
        <f t="shared" si="2"/>
        <v>0.8653913061363484</v>
      </c>
    </row>
    <row r="27" spans="1:49" x14ac:dyDescent="0.35">
      <c r="A27" s="5">
        <v>360</v>
      </c>
      <c r="B27" s="5">
        <v>80</v>
      </c>
      <c r="C27" s="5">
        <v>400</v>
      </c>
      <c r="D27" s="5">
        <v>-1.1080007463661381</v>
      </c>
      <c r="E27" s="5">
        <v>12.271132839972116</v>
      </c>
      <c r="F27" s="5">
        <v>9.8037339852255574</v>
      </c>
      <c r="G27" s="5">
        <v>2.947004743017176</v>
      </c>
      <c r="H27" s="5">
        <v>10.911698120223953</v>
      </c>
      <c r="I27" s="5">
        <v>0.5329103281038331</v>
      </c>
      <c r="J27" s="5">
        <v>11.601494859222198</v>
      </c>
      <c r="K27" s="5">
        <v>3.4109321854166623</v>
      </c>
      <c r="L27" s="5">
        <v>-3.230926878100195</v>
      </c>
      <c r="M27" s="5">
        <v>79.427150156891358</v>
      </c>
      <c r="N27" s="5">
        <v>0.84707231006957628</v>
      </c>
      <c r="O27" s="5">
        <v>13.895214399933602</v>
      </c>
      <c r="P27" s="5">
        <v>4.4150812691928083</v>
      </c>
      <c r="Q27" s="5">
        <v>178.41494633040264</v>
      </c>
      <c r="R27" s="5">
        <v>23.360325804266143</v>
      </c>
      <c r="S27" s="5">
        <v>11.136625042140098</v>
      </c>
      <c r="T27" s="5">
        <v>3.2519786136493942</v>
      </c>
      <c r="U27" s="5">
        <v>102.15790351270599</v>
      </c>
      <c r="V27" s="5">
        <v>-1.1646594974731592</v>
      </c>
      <c r="W27" s="5">
        <v>257.84209648729399</v>
      </c>
      <c r="X27" s="5">
        <v>7.6454641941858519</v>
      </c>
      <c r="Y27" s="5">
        <v>54.395310714817683</v>
      </c>
      <c r="Z27" s="5">
        <v>-15.714567975367562</v>
      </c>
      <c r="AA27" s="5">
        <v>25.031839442073675</v>
      </c>
      <c r="AB27" s="5">
        <v>10.911712318576559</v>
      </c>
      <c r="AC27" s="5">
        <v>1.0911712318576554</v>
      </c>
      <c r="AD27" s="5">
        <v>11.601541175620026</v>
      </c>
      <c r="AE27" s="5">
        <v>1.1601541175620034</v>
      </c>
      <c r="AF27" s="5">
        <v>32.147592084062715</v>
      </c>
      <c r="AG27" s="5">
        <v>25.950564014327981</v>
      </c>
      <c r="AH27" s="5">
        <v>36.340564401510953</v>
      </c>
      <c r="AI27" s="5">
        <v>0.52194442458151369</v>
      </c>
      <c r="AJ27" s="5">
        <v>3.5876574924330419E-2</v>
      </c>
      <c r="AK27" s="5">
        <v>0.2729011965900805</v>
      </c>
      <c r="AL27" s="5">
        <v>1.1350660290974421</v>
      </c>
      <c r="AM27" s="5">
        <v>3.4244038735573641E-2</v>
      </c>
      <c r="AN27" s="5">
        <v>1.8667084491463374E-2</v>
      </c>
      <c r="AO27" s="5">
        <v>0.17389804016511931</v>
      </c>
      <c r="AP27" s="5">
        <v>3.4634407443005797</v>
      </c>
      <c r="AQ27" s="5">
        <v>11.906546572337541</v>
      </c>
      <c r="AR27" s="5">
        <v>13.45957576496069</v>
      </c>
      <c r="AS27" s="5">
        <v>3.2530001926845213</v>
      </c>
      <c r="AU27" s="12">
        <f t="shared" si="0"/>
        <v>125.46088097008601</v>
      </c>
      <c r="AV27" s="12">
        <f t="shared" si="1"/>
        <v>1171.0800693664278</v>
      </c>
      <c r="AW27" s="13">
        <f t="shared" si="2"/>
        <v>0.89286737580807585</v>
      </c>
    </row>
    <row r="28" spans="1:49" x14ac:dyDescent="0.35">
      <c r="A28" s="5">
        <v>360</v>
      </c>
      <c r="B28" s="5">
        <v>80</v>
      </c>
      <c r="C28" s="5">
        <v>300</v>
      </c>
      <c r="D28" s="5">
        <v>-2.8570091416233705</v>
      </c>
      <c r="E28" s="5">
        <v>12.327062802884187</v>
      </c>
      <c r="F28" s="5">
        <v>7.4830550634071562</v>
      </c>
      <c r="G28" s="5">
        <v>2.3204214708927231</v>
      </c>
      <c r="H28" s="5">
        <v>10.340020731198139</v>
      </c>
      <c r="I28" s="5">
        <v>0.52521184168069079</v>
      </c>
      <c r="J28" s="5">
        <v>9.7459901096332668</v>
      </c>
      <c r="K28" s="5">
        <v>2.9050334849192807</v>
      </c>
      <c r="L28" s="5">
        <v>-2.8582270607981708</v>
      </c>
      <c r="M28" s="5">
        <v>79.487528149525389</v>
      </c>
      <c r="N28" s="5">
        <v>0.86279541008387184</v>
      </c>
      <c r="O28" s="5">
        <v>13.886278470531744</v>
      </c>
      <c r="P28" s="5">
        <v>3.9634188030296027</v>
      </c>
      <c r="Q28" s="5">
        <v>178.50166810577394</v>
      </c>
      <c r="R28" s="5">
        <v>20.948870205962546</v>
      </c>
      <c r="S28" s="5">
        <v>10.972133906222602</v>
      </c>
      <c r="T28" s="5">
        <v>2.9266828160721543</v>
      </c>
      <c r="U28" s="5">
        <v>102.01080374470064</v>
      </c>
      <c r="V28" s="5">
        <v>-1.0382957708825538</v>
      </c>
      <c r="W28" s="5">
        <v>257.98919625529936</v>
      </c>
      <c r="X28" s="5">
        <v>6.821099572670045</v>
      </c>
      <c r="Y28" s="5">
        <v>54.629115772771051</v>
      </c>
      <c r="Z28" s="5">
        <v>-14.127472926258534</v>
      </c>
      <c r="AA28" s="5">
        <v>24.858412376754327</v>
      </c>
      <c r="AB28" s="5">
        <v>10.340038259668644</v>
      </c>
      <c r="AC28" s="5">
        <v>1.0340038259668658</v>
      </c>
      <c r="AD28" s="5">
        <v>9.7460365362100188</v>
      </c>
      <c r="AE28" s="5">
        <v>0.97460365362100265</v>
      </c>
      <c r="AF28" s="5">
        <v>28.867327754833973</v>
      </c>
      <c r="AG28" s="5">
        <v>15.118950532135541</v>
      </c>
      <c r="AH28" s="5">
        <v>25.645767268608754</v>
      </c>
      <c r="AI28" s="5">
        <v>0.40847309655394759</v>
      </c>
      <c r="AJ28" s="5">
        <v>3.7220795983089826E-2</v>
      </c>
      <c r="AK28" s="5">
        <v>0.21992164051492052</v>
      </c>
      <c r="AL28" s="5">
        <v>0.91281873884503162</v>
      </c>
      <c r="AM28" s="5">
        <v>2.773581508574564E-2</v>
      </c>
      <c r="AN28" s="5">
        <v>1.4836133007791449E-2</v>
      </c>
      <c r="AO28" s="5">
        <v>0.13841901315633143</v>
      </c>
      <c r="AP28" s="5">
        <v>2.799186515232404</v>
      </c>
      <c r="AQ28" s="5">
        <v>10.691639121141137</v>
      </c>
      <c r="AR28" s="5">
        <v>9.4985228165140594</v>
      </c>
      <c r="AS28" s="5">
        <v>2.9277029241096013</v>
      </c>
      <c r="AU28" s="12">
        <f t="shared" si="0"/>
        <v>94.380819241612741</v>
      </c>
      <c r="AV28" s="12">
        <f t="shared" si="1"/>
        <v>1053.9730526794565</v>
      </c>
      <c r="AW28" s="13">
        <f t="shared" si="2"/>
        <v>0.91045234126083807</v>
      </c>
    </row>
    <row r="29" spans="1:49" x14ac:dyDescent="0.35">
      <c r="A29" s="5">
        <v>360</v>
      </c>
      <c r="B29" s="5">
        <v>80</v>
      </c>
      <c r="C29" s="5">
        <v>200</v>
      </c>
      <c r="D29" s="5">
        <v>-4.961175161039943</v>
      </c>
      <c r="E29" s="5">
        <v>12.394099207643613</v>
      </c>
      <c r="F29" s="5">
        <v>4.7845760162349347</v>
      </c>
      <c r="G29" s="5">
        <v>1.5918321260042159</v>
      </c>
      <c r="H29" s="5">
        <v>9.7457037352411824</v>
      </c>
      <c r="I29" s="5">
        <v>0.51625606498560095</v>
      </c>
      <c r="J29" s="5">
        <v>7.6147040543795939</v>
      </c>
      <c r="K29" s="5">
        <v>2.3211854275477299</v>
      </c>
      <c r="L29" s="5">
        <v>-2.4949518762202119</v>
      </c>
      <c r="M29" s="5">
        <v>79.573068124892828</v>
      </c>
      <c r="N29" s="5">
        <v>0.86261966948616908</v>
      </c>
      <c r="O29" s="5">
        <v>13.884927472286581</v>
      </c>
      <c r="P29" s="5">
        <v>3.4491541490212563</v>
      </c>
      <c r="Q29" s="5">
        <v>177.99818803437492</v>
      </c>
      <c r="R29" s="5">
        <v>18.223091297054324</v>
      </c>
      <c r="S29" s="5">
        <v>11.027841752636292</v>
      </c>
      <c r="T29" s="5">
        <v>2.5460073962490983</v>
      </c>
      <c r="U29" s="5">
        <v>102.42874384073227</v>
      </c>
      <c r="V29" s="5">
        <v>-0.90469817789534279</v>
      </c>
      <c r="W29" s="5">
        <v>257.5712561592677</v>
      </c>
      <c r="X29" s="5">
        <v>5.943559422252469</v>
      </c>
      <c r="Y29" s="5">
        <v>54.66029889996998</v>
      </c>
      <c r="Z29" s="5">
        <v>-12.279234399505105</v>
      </c>
      <c r="AA29" s="5">
        <v>24.912769224922858</v>
      </c>
      <c r="AB29" s="5">
        <v>9.7457219965736499</v>
      </c>
      <c r="AC29" s="5">
        <v>0.97457219965736763</v>
      </c>
      <c r="AD29" s="5">
        <v>7.614749630994508</v>
      </c>
      <c r="AE29" s="5">
        <v>0.76147496309945106</v>
      </c>
      <c r="AF29" s="5">
        <v>25.644260149675365</v>
      </c>
      <c r="AG29" s="5">
        <v>6.1808852668852508</v>
      </c>
      <c r="AH29" s="5">
        <v>15.655603815661957</v>
      </c>
      <c r="AI29" s="5">
        <v>0.31123924323273777</v>
      </c>
      <c r="AJ29" s="5">
        <v>3.7205634709221384E-2</v>
      </c>
      <c r="AK29" s="5">
        <v>0.16655330081194764</v>
      </c>
      <c r="AL29" s="5">
        <v>0.69072859735521619</v>
      </c>
      <c r="AM29" s="5">
        <v>2.0989830904730843E-2</v>
      </c>
      <c r="AN29" s="5">
        <v>1.1263827200104158E-2</v>
      </c>
      <c r="AO29" s="5">
        <v>0.10509454835239218</v>
      </c>
      <c r="AP29" s="5">
        <v>2.1146838540678026</v>
      </c>
      <c r="AQ29" s="5">
        <v>9.4979097234499488</v>
      </c>
      <c r="AR29" s="5">
        <v>5.7984411942730993</v>
      </c>
      <c r="AS29" s="5">
        <v>2.5470316836875053</v>
      </c>
      <c r="AU29" s="12">
        <f t="shared" si="0"/>
        <v>66.234858986579781</v>
      </c>
      <c r="AV29" s="12">
        <f t="shared" si="1"/>
        <v>916.93140612750187</v>
      </c>
      <c r="AW29" s="13">
        <f t="shared" si="2"/>
        <v>0.92776465224774995</v>
      </c>
    </row>
    <row r="30" spans="1:49" x14ac:dyDescent="0.35">
      <c r="A30" s="5">
        <v>360</v>
      </c>
      <c r="B30" s="5">
        <v>70</v>
      </c>
      <c r="C30" s="5">
        <v>500</v>
      </c>
      <c r="D30" s="5">
        <v>-1.8050290116906474E-2</v>
      </c>
      <c r="E30" s="5">
        <v>12.17516793570169</v>
      </c>
      <c r="F30" s="5">
        <v>11.717475036072839</v>
      </c>
      <c r="G30" s="5">
        <v>3.4637156231084418</v>
      </c>
      <c r="H30" s="5">
        <v>11.735505917327586</v>
      </c>
      <c r="I30" s="5">
        <v>0.5633166342738618</v>
      </c>
      <c r="J30" s="5">
        <v>13.280936423438236</v>
      </c>
      <c r="K30" s="5">
        <v>3.8724873978062573</v>
      </c>
      <c r="L30" s="5">
        <v>-4.951995441699454</v>
      </c>
      <c r="M30" s="5">
        <v>79.350708507662986</v>
      </c>
      <c r="N30" s="5">
        <v>0.47444382303893384</v>
      </c>
      <c r="O30" s="5">
        <v>13.912036072363437</v>
      </c>
      <c r="P30" s="5">
        <v>4.7840030589331608</v>
      </c>
      <c r="Q30" s="5">
        <v>170.7584437063887</v>
      </c>
      <c r="R30" s="5">
        <v>25.490922466557027</v>
      </c>
      <c r="S30" s="5">
        <v>15.616274846573866</v>
      </c>
      <c r="T30" s="5">
        <v>3.4036559266849116</v>
      </c>
      <c r="U30" s="5">
        <v>109.89084778594834</v>
      </c>
      <c r="V30" s="5">
        <v>-1.381749315292528</v>
      </c>
      <c r="W30" s="5">
        <v>250.10915221405168</v>
      </c>
      <c r="X30" s="5">
        <v>9.735500276656726</v>
      </c>
      <c r="Y30" s="5">
        <v>49.822397588725686</v>
      </c>
      <c r="Z30" s="5">
        <v>-15.755219249033601</v>
      </c>
      <c r="AA30" s="5">
        <v>29.528310918937294</v>
      </c>
      <c r="AB30" s="5">
        <v>11.735515023878813</v>
      </c>
      <c r="AC30" s="5">
        <v>1.173551502387882</v>
      </c>
      <c r="AD30" s="5">
        <v>13.280963619639284</v>
      </c>
      <c r="AE30" s="5">
        <v>1.3280963619639286</v>
      </c>
      <c r="AF30" s="5">
        <v>37.18496676662032</v>
      </c>
      <c r="AG30" s="5">
        <v>37.070789729667354</v>
      </c>
      <c r="AH30" s="5">
        <v>47.623483516520274</v>
      </c>
      <c r="AI30" s="5">
        <v>1.2261129427306088</v>
      </c>
      <c r="AJ30" s="5">
        <v>1.125484706098996E-2</v>
      </c>
      <c r="AK30" s="5">
        <v>0.32041359375034578</v>
      </c>
      <c r="AL30" s="5">
        <v>1.3515572266477252</v>
      </c>
      <c r="AM30" s="5">
        <v>3.7512924255880861E-2</v>
      </c>
      <c r="AN30" s="5">
        <v>2.6274657534285043E-2</v>
      </c>
      <c r="AO30" s="5">
        <v>0.28197039776943</v>
      </c>
      <c r="AP30" s="5">
        <v>3.4813827435312925</v>
      </c>
      <c r="AQ30" s="5">
        <v>13.772231287568534</v>
      </c>
      <c r="AR30" s="5">
        <v>17.638399466618221</v>
      </c>
      <c r="AS30" s="5">
        <v>3.4047548351627723</v>
      </c>
      <c r="AU30" s="12">
        <f t="shared" si="0"/>
        <v>160.02635010027524</v>
      </c>
      <c r="AV30" s="12">
        <f t="shared" si="1"/>
        <v>1225.711740658598</v>
      </c>
      <c r="AW30" s="13">
        <f t="shared" si="2"/>
        <v>0.86944210062449911</v>
      </c>
    </row>
    <row r="31" spans="1:49" x14ac:dyDescent="0.35">
      <c r="A31" s="5">
        <v>360</v>
      </c>
      <c r="B31" s="5">
        <v>70</v>
      </c>
      <c r="C31" s="5">
        <v>400</v>
      </c>
      <c r="D31" s="5">
        <v>-1.6597563529814467</v>
      </c>
      <c r="E31" s="5">
        <v>12.215295267704551</v>
      </c>
      <c r="F31" s="5">
        <v>9.6903308196104447</v>
      </c>
      <c r="G31" s="5">
        <v>2.9163858880535263</v>
      </c>
      <c r="H31" s="5">
        <v>11.35004973557024</v>
      </c>
      <c r="I31" s="5">
        <v>0.54066511048856458</v>
      </c>
      <c r="J31" s="5">
        <v>11.657003855532569</v>
      </c>
      <c r="K31" s="5">
        <v>3.4263524422248688</v>
      </c>
      <c r="L31" s="5">
        <v>-3.3160855736364763</v>
      </c>
      <c r="M31" s="5">
        <v>79.401451319525563</v>
      </c>
      <c r="N31" s="5">
        <v>0.85184740948244031</v>
      </c>
      <c r="O31" s="5">
        <v>13.890966844640763</v>
      </c>
      <c r="P31" s="5">
        <v>4.5136356148309513</v>
      </c>
      <c r="Q31" s="5">
        <v>178.31790453894456</v>
      </c>
      <c r="R31" s="5">
        <v>23.858962301607647</v>
      </c>
      <c r="S31" s="5">
        <v>11.151332653652499</v>
      </c>
      <c r="T31" s="5">
        <v>3.3202121852594022</v>
      </c>
      <c r="U31" s="5">
        <v>102.28064414152993</v>
      </c>
      <c r="V31" s="5">
        <v>-1.1949778166887177</v>
      </c>
      <c r="W31" s="5">
        <v>257.71935585847012</v>
      </c>
      <c r="X31" s="5">
        <v>7.8291775969492123</v>
      </c>
      <c r="Y31" s="5">
        <v>54.359151821232302</v>
      </c>
      <c r="Z31" s="5">
        <v>-16.029491536135204</v>
      </c>
      <c r="AA31" s="5">
        <v>25.042299498293243</v>
      </c>
      <c r="AB31" s="5">
        <v>11.350064664476506</v>
      </c>
      <c r="AC31" s="5">
        <v>1.1350064664476498</v>
      </c>
      <c r="AD31" s="5">
        <v>11.657050227648721</v>
      </c>
      <c r="AE31" s="5">
        <v>1.1657050227648729</v>
      </c>
      <c r="AF31" s="5">
        <v>34.782379829977884</v>
      </c>
      <c r="AG31" s="5">
        <v>25.353678076242851</v>
      </c>
      <c r="AH31" s="5">
        <v>36.689149499733318</v>
      </c>
      <c r="AI31" s="5">
        <v>0.54982117658399787</v>
      </c>
      <c r="AJ31" s="5">
        <v>3.6282200452097221E-2</v>
      </c>
      <c r="AK31" s="5">
        <v>0.28522069048858534</v>
      </c>
      <c r="AL31" s="5">
        <v>1.1840401707878325</v>
      </c>
      <c r="AM31" s="5">
        <v>3.5696143283326709E-2</v>
      </c>
      <c r="AN31" s="5">
        <v>1.9651614424156236E-2</v>
      </c>
      <c r="AO31" s="5">
        <v>0.18235566498760006</v>
      </c>
      <c r="AP31" s="5">
        <v>3.6036479996710979</v>
      </c>
      <c r="AQ31" s="5">
        <v>12.882396788779818</v>
      </c>
      <c r="AR31" s="5">
        <v>13.58868200099251</v>
      </c>
      <c r="AS31" s="5">
        <v>3.321234991700817</v>
      </c>
      <c r="AU31" s="12">
        <f t="shared" si="0"/>
        <v>129.19300185640509</v>
      </c>
      <c r="AV31" s="12">
        <f t="shared" si="1"/>
        <v>1195.6445970122941</v>
      </c>
      <c r="AW31" s="13">
        <f t="shared" si="2"/>
        <v>0.89194698643791326</v>
      </c>
    </row>
    <row r="32" spans="1:49" x14ac:dyDescent="0.35">
      <c r="A32" s="5">
        <v>360</v>
      </c>
      <c r="B32" s="5">
        <v>70</v>
      </c>
      <c r="C32" s="5">
        <v>300</v>
      </c>
      <c r="D32" s="5">
        <v>-3.5072388093921933</v>
      </c>
      <c r="E32" s="5">
        <v>12.263658483353524</v>
      </c>
      <c r="F32" s="5">
        <v>7.3578617346162085</v>
      </c>
      <c r="G32" s="5">
        <v>2.2866192802564882</v>
      </c>
      <c r="H32" s="5">
        <v>10.865059267804829</v>
      </c>
      <c r="I32" s="5">
        <v>0.53466415830303382</v>
      </c>
      <c r="J32" s="5">
        <v>9.8202160827110525</v>
      </c>
      <c r="K32" s="5">
        <v>2.9257647502008277</v>
      </c>
      <c r="L32" s="5">
        <v>-2.9408408275718352</v>
      </c>
      <c r="M32" s="5">
        <v>79.478904567069762</v>
      </c>
      <c r="N32" s="5">
        <v>0.86088780997079717</v>
      </c>
      <c r="O32" s="5">
        <v>13.884830128020596</v>
      </c>
      <c r="P32" s="5">
        <v>4.0581031477269685</v>
      </c>
      <c r="Q32" s="5">
        <v>179.44017744946882</v>
      </c>
      <c r="R32" s="5">
        <v>21.546224420838623</v>
      </c>
      <c r="S32" s="5">
        <v>10.890506303572531</v>
      </c>
      <c r="T32" s="5">
        <v>3.0055786054663725</v>
      </c>
      <c r="U32" s="5">
        <v>101.08091798346139</v>
      </c>
      <c r="V32" s="5">
        <v>-1.0541029239009263</v>
      </c>
      <c r="W32" s="5">
        <v>258.9190820165386</v>
      </c>
      <c r="X32" s="5">
        <v>6.9983969396174475</v>
      </c>
      <c r="Y32" s="5">
        <v>54.703568135476651</v>
      </c>
      <c r="Z32" s="5">
        <v>-14.547528198904136</v>
      </c>
      <c r="AA32" s="5">
        <v>24.775336431593111</v>
      </c>
      <c r="AB32" s="5">
        <v>10.865074863640418</v>
      </c>
      <c r="AC32" s="5">
        <v>1.0865074863640432</v>
      </c>
      <c r="AD32" s="5">
        <v>9.8202617472274021</v>
      </c>
      <c r="AE32" s="5">
        <v>0.9820261747227409</v>
      </c>
      <c r="AF32" s="5">
        <v>31.873368481086139</v>
      </c>
      <c r="AG32" s="5">
        <v>14.617294912546951</v>
      </c>
      <c r="AH32" s="5">
        <v>26.037893856006942</v>
      </c>
      <c r="AI32" s="5">
        <v>0.43242723865566984</v>
      </c>
      <c r="AJ32" s="5">
        <v>3.7056391067815768E-2</v>
      </c>
      <c r="AK32" s="5">
        <v>0.23055481620628143</v>
      </c>
      <c r="AL32" s="5">
        <v>0.96561875652973672</v>
      </c>
      <c r="AM32" s="5">
        <v>2.9251342249872789E-2</v>
      </c>
      <c r="AN32" s="5">
        <v>1.529130616842873E-2</v>
      </c>
      <c r="AO32" s="5">
        <v>0.1457082401802294</v>
      </c>
      <c r="AP32" s="5">
        <v>2.968118838188202</v>
      </c>
      <c r="AQ32" s="5">
        <v>11.804985179251084</v>
      </c>
      <c r="AR32" s="5">
        <v>9.6437540784057791</v>
      </c>
      <c r="AS32" s="5">
        <v>3.0065894146462067</v>
      </c>
      <c r="AU32" s="12">
        <f t="shared" si="0"/>
        <v>98.801323436543129</v>
      </c>
      <c r="AV32" s="12">
        <f t="shared" si="1"/>
        <v>1082.3721892726344</v>
      </c>
      <c r="AW32" s="13">
        <f t="shared" si="2"/>
        <v>0.90871779188733715</v>
      </c>
    </row>
    <row r="33" spans="1:49" x14ac:dyDescent="0.35">
      <c r="A33" s="5">
        <v>360</v>
      </c>
      <c r="B33" s="5">
        <v>70</v>
      </c>
      <c r="C33" s="5">
        <v>200</v>
      </c>
      <c r="D33" s="5">
        <v>-5.7194274981231743</v>
      </c>
      <c r="E33" s="5">
        <v>12.322425306160161</v>
      </c>
      <c r="F33" s="5">
        <v>4.649256385197468</v>
      </c>
      <c r="G33" s="5">
        <v>1.5552958170527065</v>
      </c>
      <c r="H33" s="5">
        <v>10.36863759231313</v>
      </c>
      <c r="I33" s="5">
        <v>0.5259567878795034</v>
      </c>
      <c r="J33" s="5">
        <v>7.7096914107741448</v>
      </c>
      <c r="K33" s="5">
        <v>2.3471444225684053</v>
      </c>
      <c r="L33" s="5">
        <v>-2.617241124671696</v>
      </c>
      <c r="M33" s="5">
        <v>79.556283513496425</v>
      </c>
      <c r="N33" s="5">
        <v>0.86059608283923106</v>
      </c>
      <c r="O33" s="5">
        <v>13.885247580765958</v>
      </c>
      <c r="P33" s="5">
        <v>3.56499805300753</v>
      </c>
      <c r="Q33" s="5">
        <v>177.93636335459416</v>
      </c>
      <c r="R33" s="5">
        <v>18.938987641003081</v>
      </c>
      <c r="S33" s="5">
        <v>11.039982583687342</v>
      </c>
      <c r="T33" s="5">
        <v>2.6414010696501897</v>
      </c>
      <c r="U33" s="5">
        <v>102.50735313190941</v>
      </c>
      <c r="V33" s="5">
        <v>-0.92514683629470107</v>
      </c>
      <c r="W33" s="5">
        <v>257.49264686809062</v>
      </c>
      <c r="X33" s="5">
        <v>6.1816928671457347</v>
      </c>
      <c r="Y33" s="5">
        <v>54.631053349043128</v>
      </c>
      <c r="Z33" s="5">
        <v>-12.7569977156255</v>
      </c>
      <c r="AA33" s="5">
        <v>24.925230164453282</v>
      </c>
      <c r="AB33" s="5">
        <v>10.368654867262906</v>
      </c>
      <c r="AC33" s="5">
        <v>1.0368654867262936</v>
      </c>
      <c r="AD33" s="5">
        <v>7.7097366909009422</v>
      </c>
      <c r="AE33" s="5">
        <v>0.77097366909009479</v>
      </c>
      <c r="AF33" s="5">
        <v>29.027334290596837</v>
      </c>
      <c r="AG33" s="5">
        <v>5.8362079325308454</v>
      </c>
      <c r="AH33" s="5">
        <v>16.048622245328449</v>
      </c>
      <c r="AI33" s="5">
        <v>0.34249755523363823</v>
      </c>
      <c r="AJ33" s="5">
        <v>3.7031280889911436E-2</v>
      </c>
      <c r="AK33" s="5">
        <v>0.17792895565126471</v>
      </c>
      <c r="AL33" s="5">
        <v>0.74606532596142028</v>
      </c>
      <c r="AM33" s="5">
        <v>2.2592189215759204E-2</v>
      </c>
      <c r="AN33" s="5">
        <v>1.1778768440764824E-2</v>
      </c>
      <c r="AO33" s="5">
        <v>0.11368464694356835</v>
      </c>
      <c r="AP33" s="5">
        <v>2.2824423947985513</v>
      </c>
      <c r="AQ33" s="5">
        <v>10.750900375641477</v>
      </c>
      <c r="AR33" s="5">
        <v>5.9440039843024213</v>
      </c>
      <c r="AS33" s="5">
        <v>2.6424261431815088</v>
      </c>
      <c r="AU33" s="12">
        <f t="shared" si="0"/>
        <v>71.341089945534904</v>
      </c>
      <c r="AV33" s="12">
        <f t="shared" si="1"/>
        <v>951.27341154534315</v>
      </c>
      <c r="AW33" s="13">
        <f t="shared" si="2"/>
        <v>0.92500464211478239</v>
      </c>
    </row>
    <row r="34" spans="1:49" x14ac:dyDescent="0.35">
      <c r="A34" s="5">
        <v>270</v>
      </c>
      <c r="B34" s="5">
        <v>100</v>
      </c>
      <c r="C34" s="5">
        <v>500</v>
      </c>
      <c r="D34" s="5">
        <v>8.9249873461749267</v>
      </c>
      <c r="E34" s="5">
        <v>13.000829222095469</v>
      </c>
      <c r="F34" s="5">
        <v>13.56810639849396</v>
      </c>
      <c r="G34" s="5">
        <v>3.9633847314541182</v>
      </c>
      <c r="H34" s="5">
        <v>4.6430745281255419</v>
      </c>
      <c r="I34" s="5">
        <v>0.42937820602163795</v>
      </c>
      <c r="J34" s="5">
        <v>12.365762559484564</v>
      </c>
      <c r="K34" s="5">
        <v>3.6204915564147111</v>
      </c>
      <c r="L34" s="5">
        <v>-2.2495274262731542</v>
      </c>
      <c r="M34" s="5">
        <v>79.539198329692866</v>
      </c>
      <c r="N34" s="5">
        <v>0.86695833162328217</v>
      </c>
      <c r="O34" s="5">
        <v>13.894517229472248</v>
      </c>
      <c r="P34" s="5">
        <v>3.2586527397096163</v>
      </c>
      <c r="Q34" s="5">
        <v>119.14176846210857</v>
      </c>
      <c r="R34" s="5">
        <v>17.87586816933652</v>
      </c>
      <c r="S34" s="5">
        <v>9.6441251425720225</v>
      </c>
      <c r="T34" s="5">
        <v>2.41647939235264</v>
      </c>
      <c r="U34" s="5">
        <v>71.319033208198547</v>
      </c>
      <c r="V34" s="5">
        <v>-0.84344696669281205</v>
      </c>
      <c r="W34" s="5">
        <v>198.68096679180144</v>
      </c>
      <c r="X34" s="5">
        <v>5.507620160423194</v>
      </c>
      <c r="Y34" s="5">
        <v>56.000555957648615</v>
      </c>
      <c r="Z34" s="5">
        <v>-12.367923389777468</v>
      </c>
      <c r="AA34" s="5">
        <v>23.538642372044254</v>
      </c>
      <c r="AB34" s="5">
        <v>4.6430980135513868</v>
      </c>
      <c r="AC34" s="5">
        <v>0.46430980135513955</v>
      </c>
      <c r="AD34" s="5">
        <v>12.365811824161852</v>
      </c>
      <c r="AE34" s="5">
        <v>1.2365811824161854</v>
      </c>
      <c r="AF34" s="5">
        <v>5.8206980899066201</v>
      </c>
      <c r="AG34" s="5">
        <v>49.705248035030245</v>
      </c>
      <c r="AH34" s="5">
        <v>41.286262592938563</v>
      </c>
      <c r="AI34" s="5">
        <v>0.25301868207775607</v>
      </c>
      <c r="AJ34" s="5">
        <v>3.758083743855125E-2</v>
      </c>
      <c r="AK34" s="5">
        <v>0.14866344749223784</v>
      </c>
      <c r="AL34" s="5">
        <v>0.66465705863959701</v>
      </c>
      <c r="AM34" s="5">
        <v>1.890844478329614E-2</v>
      </c>
      <c r="AN34" s="5">
        <v>9.7902573831016824E-3</v>
      </c>
      <c r="AO34" s="5">
        <v>9.0243292498712532E-2</v>
      </c>
      <c r="AP34" s="5">
        <v>2.1453415438800492</v>
      </c>
      <c r="AQ34" s="5">
        <v>2.1558359163444836</v>
      </c>
      <c r="AR34" s="5">
        <v>15.291330207058108</v>
      </c>
      <c r="AS34" s="5">
        <v>2.4171925826847218</v>
      </c>
      <c r="AU34" s="12">
        <f t="shared" si="0"/>
        <v>117.62757840547131</v>
      </c>
      <c r="AV34" s="12">
        <f t="shared" si="1"/>
        <v>652.64199732487486</v>
      </c>
      <c r="AW34" s="13">
        <f t="shared" si="2"/>
        <v>0.81976707155283146</v>
      </c>
    </row>
    <row r="35" spans="1:49" x14ac:dyDescent="0.35">
      <c r="A35" s="5">
        <v>270</v>
      </c>
      <c r="B35" s="5">
        <v>100</v>
      </c>
      <c r="C35" s="5">
        <v>400</v>
      </c>
      <c r="D35" s="5">
        <v>7.0707113145075855</v>
      </c>
      <c r="E35" s="5">
        <v>13.029666848084952</v>
      </c>
      <c r="F35" s="5">
        <v>11.42620803907589</v>
      </c>
      <c r="G35" s="5">
        <v>3.3850720045979834</v>
      </c>
      <c r="H35" s="5">
        <v>4.3554496196617665</v>
      </c>
      <c r="I35" s="5">
        <v>0.41999467157274317</v>
      </c>
      <c r="J35" s="5">
        <v>10.714710865695512</v>
      </c>
      <c r="K35" s="5">
        <v>3.1691383199667746</v>
      </c>
      <c r="L35" s="5">
        <v>-2.2551721427672851</v>
      </c>
      <c r="M35" s="5">
        <v>79.54908975167659</v>
      </c>
      <c r="N35" s="5">
        <v>0.8479231157108893</v>
      </c>
      <c r="O35" s="5">
        <v>13.885208934173653</v>
      </c>
      <c r="P35" s="5">
        <v>2.8888233160494234</v>
      </c>
      <c r="Q35" s="5">
        <v>115.95039089524094</v>
      </c>
      <c r="R35" s="5">
        <v>15.918154968069613</v>
      </c>
      <c r="S35" s="5">
        <v>10.700549013255207</v>
      </c>
      <c r="T35" s="5">
        <v>2.1147114775852676</v>
      </c>
      <c r="U35" s="5">
        <v>74.500519353082467</v>
      </c>
      <c r="V35" s="5">
        <v>-0.77532182807709427</v>
      </c>
      <c r="W35" s="5">
        <v>195.49948064691753</v>
      </c>
      <c r="X35" s="5">
        <v>5.1434458254986657</v>
      </c>
      <c r="Y35" s="5">
        <v>54.963331804247737</v>
      </c>
      <c r="Z35" s="5">
        <v>-10.774405366832379</v>
      </c>
      <c r="AA35" s="5">
        <v>24.585757947428846</v>
      </c>
      <c r="AB35" s="5">
        <v>4.355474145159616</v>
      </c>
      <c r="AC35" s="5">
        <v>0.43554741451596057</v>
      </c>
      <c r="AD35" s="5">
        <v>10.714757707199126</v>
      </c>
      <c r="AE35" s="5">
        <v>1.0714757707199136</v>
      </c>
      <c r="AF35" s="5">
        <v>5.1218841751411937</v>
      </c>
      <c r="AG35" s="5">
        <v>35.250722141105477</v>
      </c>
      <c r="AH35" s="5">
        <v>30.997357812572439</v>
      </c>
      <c r="AI35" s="5">
        <v>0.25429006967567941</v>
      </c>
      <c r="AJ35" s="5">
        <v>3.5948680507843105E-2</v>
      </c>
      <c r="AK35" s="5">
        <v>0.11683420211891103</v>
      </c>
      <c r="AL35" s="5">
        <v>0.52704632778195692</v>
      </c>
      <c r="AM35" s="5">
        <v>1.4480776908252327E-2</v>
      </c>
      <c r="AN35" s="5">
        <v>8.2726103723724433E-3</v>
      </c>
      <c r="AO35" s="5">
        <v>7.8703729005522971E-2</v>
      </c>
      <c r="AP35" s="5">
        <v>1.62813154939879</v>
      </c>
      <c r="AQ35" s="5">
        <v>1.8970155029153888</v>
      </c>
      <c r="AR35" s="5">
        <v>11.480603272398309</v>
      </c>
      <c r="AS35" s="5">
        <v>2.1154564827787987</v>
      </c>
      <c r="AU35" s="12">
        <f t="shared" si="0"/>
        <v>87.411290849902144</v>
      </c>
      <c r="AV35" s="12">
        <f t="shared" si="1"/>
        <v>571.17325035027568</v>
      </c>
      <c r="AW35" s="13">
        <f t="shared" si="2"/>
        <v>0.84696186175333565</v>
      </c>
    </row>
    <row r="36" spans="1:49" x14ac:dyDescent="0.35">
      <c r="A36" s="5">
        <v>270</v>
      </c>
      <c r="B36" s="5">
        <v>100</v>
      </c>
      <c r="C36" s="5">
        <v>300</v>
      </c>
      <c r="D36" s="5">
        <v>4.8933529482430957</v>
      </c>
      <c r="E36" s="5">
        <v>13.063233373121093</v>
      </c>
      <c r="F36" s="5">
        <v>8.9632964552651391</v>
      </c>
      <c r="G36" s="5">
        <v>2.7200858789888773</v>
      </c>
      <c r="H36" s="5">
        <v>4.0698916565346304</v>
      </c>
      <c r="I36" s="5">
        <v>0.41598404234808911</v>
      </c>
      <c r="J36" s="5">
        <v>8.8451326187174768</v>
      </c>
      <c r="K36" s="5">
        <v>2.6585438494617222</v>
      </c>
      <c r="L36" s="5">
        <v>-1.9395867506502218</v>
      </c>
      <c r="M36" s="5">
        <v>79.593812204543482</v>
      </c>
      <c r="N36" s="5">
        <v>0.8536579598204026</v>
      </c>
      <c r="O36" s="5">
        <v>13.886209209231342</v>
      </c>
      <c r="P36" s="5">
        <v>2.5061137998874439</v>
      </c>
      <c r="Q36" s="5">
        <v>115.90019075129807</v>
      </c>
      <c r="R36" s="5">
        <v>13.768754553816001</v>
      </c>
      <c r="S36" s="5">
        <v>10.663430395095132</v>
      </c>
      <c r="T36" s="5">
        <v>1.8277538907684379</v>
      </c>
      <c r="U36" s="5">
        <v>74.50599704415842</v>
      </c>
      <c r="V36" s="5">
        <v>-0.67956978917812216</v>
      </c>
      <c r="W36" s="5">
        <v>195.49400295584158</v>
      </c>
      <c r="X36" s="5">
        <v>4.4451501088116627</v>
      </c>
      <c r="Y36" s="5">
        <v>55.044172600217038</v>
      </c>
      <c r="Z36" s="5">
        <v>-9.3232994996743752</v>
      </c>
      <c r="AA36" s="5">
        <v>24.549639604326455</v>
      </c>
      <c r="AB36" s="5">
        <v>4.0699179376215433</v>
      </c>
      <c r="AC36" s="5">
        <v>0.4069917937621555</v>
      </c>
      <c r="AD36" s="5">
        <v>8.845178656374042</v>
      </c>
      <c r="AE36" s="5">
        <v>0.88451786563740475</v>
      </c>
      <c r="AF36" s="5">
        <v>4.4722848859011535</v>
      </c>
      <c r="AG36" s="5">
        <v>21.691984503141526</v>
      </c>
      <c r="AH36" s="5">
        <v>21.12382018152897</v>
      </c>
      <c r="AI36" s="5">
        <v>0.18809983816489428</v>
      </c>
      <c r="AJ36" s="5">
        <v>3.643659561823661E-2</v>
      </c>
      <c r="AK36" s="5">
        <v>8.7928489291807965E-2</v>
      </c>
      <c r="AL36" s="5">
        <v>0.39432349208351603</v>
      </c>
      <c r="AM36" s="5">
        <v>1.0817453875947763E-2</v>
      </c>
      <c r="AN36" s="5">
        <v>6.3554554012895071E-3</v>
      </c>
      <c r="AO36" s="5">
        <v>5.8784094482358301E-2</v>
      </c>
      <c r="AP36" s="5">
        <v>1.2191078876878141</v>
      </c>
      <c r="AQ36" s="5">
        <v>1.6564232018973595</v>
      </c>
      <c r="AR36" s="5">
        <v>7.8237185463174903</v>
      </c>
      <c r="AS36" s="5">
        <v>1.8284989507388791</v>
      </c>
      <c r="AU36" s="12">
        <f t="shared" si="0"/>
        <v>58.770084625392357</v>
      </c>
      <c r="AV36" s="12">
        <f t="shared" si="1"/>
        <v>493.69471669949735</v>
      </c>
      <c r="AW36" s="13">
        <f t="shared" si="2"/>
        <v>0.88095865190073608</v>
      </c>
    </row>
    <row r="37" spans="1:49" x14ac:dyDescent="0.35">
      <c r="A37" s="5">
        <v>270</v>
      </c>
      <c r="B37" s="5">
        <v>100</v>
      </c>
      <c r="C37" s="5">
        <v>200</v>
      </c>
      <c r="D37" s="5">
        <v>2.3851637137151389</v>
      </c>
      <c r="E37" s="5">
        <v>13.101885864675717</v>
      </c>
      <c r="F37" s="5">
        <v>6.1135747909400555</v>
      </c>
      <c r="G37" s="5">
        <v>1.9506610482045872</v>
      </c>
      <c r="H37" s="5">
        <v>3.7283551906822665</v>
      </c>
      <c r="I37" s="5">
        <v>0.41095829552049834</v>
      </c>
      <c r="J37" s="5">
        <v>6.6862543385224891</v>
      </c>
      <c r="K37" s="5">
        <v>2.0658277197359278</v>
      </c>
      <c r="L37" s="5">
        <v>-1.5817443375110269</v>
      </c>
      <c r="M37" s="5">
        <v>79.628492225026946</v>
      </c>
      <c r="N37" s="5">
        <v>0.86254470233553093</v>
      </c>
      <c r="O37" s="5">
        <v>13.885682404048888</v>
      </c>
      <c r="P37" s="5">
        <v>2.0483789392414433</v>
      </c>
      <c r="Q37" s="5">
        <v>116.38434023640723</v>
      </c>
      <c r="R37" s="5">
        <v>11.277225819280529</v>
      </c>
      <c r="S37" s="5">
        <v>10.510793190004277</v>
      </c>
      <c r="T37" s="5">
        <v>1.5001264984438982</v>
      </c>
      <c r="U37" s="5">
        <v>73.987167538565828</v>
      </c>
      <c r="V37" s="5">
        <v>-0.54947269744677374</v>
      </c>
      <c r="W37" s="5">
        <v>196.01283246143416</v>
      </c>
      <c r="X37" s="5">
        <v>3.6295709565861602</v>
      </c>
      <c r="Y37" s="5">
        <v>55.232016630973789</v>
      </c>
      <c r="Z37" s="5">
        <v>-7.6473465072839986</v>
      </c>
      <c r="AA37" s="5">
        <v>24.396475594053143</v>
      </c>
      <c r="AB37" s="5">
        <v>3.7283824385267126</v>
      </c>
      <c r="AC37" s="5">
        <v>0.37283824385267395</v>
      </c>
      <c r="AD37" s="5">
        <v>6.6862986784182867</v>
      </c>
      <c r="AE37" s="5">
        <v>0.66862986784182887</v>
      </c>
      <c r="AF37" s="5">
        <v>3.7531707555295983</v>
      </c>
      <c r="AG37" s="5">
        <v>10.091465115592792</v>
      </c>
      <c r="AH37" s="5">
        <v>12.070619211440919</v>
      </c>
      <c r="AI37" s="5">
        <v>0.12509575746240989</v>
      </c>
      <c r="AJ37" s="5">
        <v>3.7199168176354484E-2</v>
      </c>
      <c r="AK37" s="5">
        <v>5.8741987902190609E-2</v>
      </c>
      <c r="AL37" s="5">
        <v>0.26452571013241855</v>
      </c>
      <c r="AM37" s="5">
        <v>7.2869431795562619E-3</v>
      </c>
      <c r="AN37" s="5">
        <v>4.1549976606760171E-3</v>
      </c>
      <c r="AO37" s="5">
        <v>3.9192011353458983E-2</v>
      </c>
      <c r="AP37" s="5">
        <v>0.82020876814962451</v>
      </c>
      <c r="AQ37" s="5">
        <v>1.3900835607914397</v>
      </c>
      <c r="AR37" s="5">
        <v>4.4706590017018133</v>
      </c>
      <c r="AS37" s="5">
        <v>1.5008663701192839</v>
      </c>
      <c r="AU37" s="12">
        <f t="shared" si="0"/>
        <v>33.132402989073249</v>
      </c>
      <c r="AV37" s="12">
        <f t="shared" si="1"/>
        <v>405.23391993220667</v>
      </c>
      <c r="AW37" s="13">
        <f t="shared" si="2"/>
        <v>0.91823882118600508</v>
      </c>
    </row>
    <row r="38" spans="1:49" x14ac:dyDescent="0.35">
      <c r="A38" s="5">
        <v>270</v>
      </c>
      <c r="B38" s="5">
        <v>90</v>
      </c>
      <c r="C38" s="5">
        <v>500</v>
      </c>
      <c r="D38" s="5">
        <v>0.76106141574979636</v>
      </c>
      <c r="E38" s="5">
        <v>12.267760923096455</v>
      </c>
      <c r="F38" s="5">
        <v>11.893008496552905</v>
      </c>
      <c r="G38" s="5">
        <v>3.5111100526893417</v>
      </c>
      <c r="H38" s="5">
        <v>11.131911659682881</v>
      </c>
      <c r="I38" s="5">
        <v>0.56143481859560573</v>
      </c>
      <c r="J38" s="5">
        <v>13.235097389357069</v>
      </c>
      <c r="K38" s="5">
        <v>3.8622232965881946</v>
      </c>
      <c r="L38" s="5">
        <v>-3.2825028336619924</v>
      </c>
      <c r="M38" s="5">
        <v>79.467272987392704</v>
      </c>
      <c r="N38" s="5">
        <v>0.80691628429759066</v>
      </c>
      <c r="O38" s="5">
        <v>13.942388401922685</v>
      </c>
      <c r="P38" s="5">
        <v>4.6139771738097384</v>
      </c>
      <c r="Q38" s="5">
        <v>105.62503491397932</v>
      </c>
      <c r="R38" s="5">
        <v>25.173985235877655</v>
      </c>
      <c r="S38" s="5">
        <v>10.060876194321892</v>
      </c>
      <c r="T38" s="5">
        <v>3.1736338185732045</v>
      </c>
      <c r="U38" s="5">
        <v>84.907692098627933</v>
      </c>
      <c r="V38" s="5">
        <v>-1.4413452013945622</v>
      </c>
      <c r="W38" s="5">
        <v>185.09230790137207</v>
      </c>
      <c r="X38" s="5">
        <v>7.8959253673878207</v>
      </c>
      <c r="Y38" s="5">
        <v>55.464008391148163</v>
      </c>
      <c r="Z38" s="5">
        <v>-17.277745261051876</v>
      </c>
      <c r="AA38" s="5">
        <v>24.003264596244559</v>
      </c>
      <c r="AB38" s="5">
        <v>11.13192660230626</v>
      </c>
      <c r="AC38" s="5">
        <v>1.1131926602306272</v>
      </c>
      <c r="AD38" s="5">
        <v>13.235142349273799</v>
      </c>
      <c r="AE38" s="5">
        <v>1.3235142349273803</v>
      </c>
      <c r="AF38" s="5">
        <v>33.458253443725596</v>
      </c>
      <c r="AG38" s="5">
        <v>38.189785796751494</v>
      </c>
      <c r="AH38" s="5">
        <v>47.295306784556907</v>
      </c>
      <c r="AI38" s="5">
        <v>0.53874124264995049</v>
      </c>
      <c r="AJ38" s="5">
        <v>3.2555694493231507E-2</v>
      </c>
      <c r="AK38" s="5">
        <v>0.29804299504612225</v>
      </c>
      <c r="AL38" s="5">
        <v>1.3181574279248671</v>
      </c>
      <c r="AM38" s="5">
        <v>3.2613938560886888E-2</v>
      </c>
      <c r="AN38" s="5">
        <v>2.8590026713786902E-2</v>
      </c>
      <c r="AO38" s="5">
        <v>0.18547827128689151</v>
      </c>
      <c r="AP38" s="5">
        <v>4.1867497503138535</v>
      </c>
      <c r="AQ38" s="5">
        <v>12.391978987913379</v>
      </c>
      <c r="AR38" s="5">
        <v>17.51689930055408</v>
      </c>
      <c r="AS38" s="5">
        <v>3.1744828954941897</v>
      </c>
      <c r="AU38" s="12">
        <f t="shared" si="0"/>
        <v>155.47315366049105</v>
      </c>
      <c r="AV38" s="12">
        <f t="shared" si="1"/>
        <v>857.11038178343119</v>
      </c>
      <c r="AW38" s="13">
        <f t="shared" si="2"/>
        <v>0.81860778148901825</v>
      </c>
    </row>
    <row r="39" spans="1:49" x14ac:dyDescent="0.35">
      <c r="A39" s="5">
        <v>270</v>
      </c>
      <c r="B39" s="5">
        <v>90</v>
      </c>
      <c r="C39" s="5">
        <v>400</v>
      </c>
      <c r="D39" s="5">
        <v>-0.56749445633138695</v>
      </c>
      <c r="E39" s="5">
        <v>12.316248827898342</v>
      </c>
      <c r="F39" s="5">
        <v>9.9027557913487367</v>
      </c>
      <c r="G39" s="5">
        <v>2.9737409157169714</v>
      </c>
      <c r="H39" s="5">
        <v>10.470208972954817</v>
      </c>
      <c r="I39" s="5">
        <v>0.53147981835380631</v>
      </c>
      <c r="J39" s="5">
        <v>11.544666574944424</v>
      </c>
      <c r="K39" s="5">
        <v>3.397771993779318</v>
      </c>
      <c r="L39" s="5">
        <v>-2.7781963141084467</v>
      </c>
      <c r="M39" s="5">
        <v>79.457986952858647</v>
      </c>
      <c r="N39" s="5">
        <v>0.85870713797787879</v>
      </c>
      <c r="O39" s="5">
        <v>13.894751348806063</v>
      </c>
      <c r="P39" s="5">
        <v>4.2261390291628738</v>
      </c>
      <c r="Q39" s="5">
        <v>119.83970960391912</v>
      </c>
      <c r="R39" s="5">
        <v>22.873648591970806</v>
      </c>
      <c r="S39" s="5">
        <v>9.4286261093803496</v>
      </c>
      <c r="T39" s="5">
        <v>3.1444865271148466</v>
      </c>
      <c r="U39" s="5">
        <v>70.702303443222235</v>
      </c>
      <c r="V39" s="5">
        <v>-1.0829384559791619</v>
      </c>
      <c r="W39" s="5">
        <v>199.29769655677777</v>
      </c>
      <c r="X39" s="5">
        <v>7.0037739971763733</v>
      </c>
      <c r="Y39" s="5">
        <v>56.134609494672247</v>
      </c>
      <c r="Z39" s="5">
        <v>-15.869546482474069</v>
      </c>
      <c r="AA39" s="5">
        <v>23.323377458186393</v>
      </c>
      <c r="AB39" s="5">
        <v>10.470227025539176</v>
      </c>
      <c r="AC39" s="5">
        <v>1.0470227025539169</v>
      </c>
      <c r="AD39" s="5">
        <v>11.544714428453767</v>
      </c>
      <c r="AE39" s="5">
        <v>1.1544714428453777</v>
      </c>
      <c r="AF39" s="5">
        <v>29.598824503082763</v>
      </c>
      <c r="AG39" s="5">
        <v>26.477434511034559</v>
      </c>
      <c r="AH39" s="5">
        <v>35.98541810819254</v>
      </c>
      <c r="AI39" s="5">
        <v>0.38591873798628795</v>
      </c>
      <c r="AJ39" s="5">
        <v>3.6868897440707989E-2</v>
      </c>
      <c r="AK39" s="5">
        <v>0.25004351531339203</v>
      </c>
      <c r="AL39" s="5">
        <v>1.0882639038106534</v>
      </c>
      <c r="AM39" s="5">
        <v>3.2017623586002936E-2</v>
      </c>
      <c r="AN39" s="5">
        <v>1.6139352244654074E-2</v>
      </c>
      <c r="AO39" s="5">
        <v>0.14593222935548364</v>
      </c>
      <c r="AP39" s="5">
        <v>3.5320911404706568</v>
      </c>
      <c r="AQ39" s="5">
        <v>10.962565396633094</v>
      </c>
      <c r="AR39" s="5">
        <v>13.32804312345486</v>
      </c>
      <c r="AS39" s="5">
        <v>3.1451935501492789</v>
      </c>
      <c r="AU39" s="12">
        <f t="shared" si="0"/>
        <v>121.83956104260567</v>
      </c>
      <c r="AV39" s="12">
        <f t="shared" si="1"/>
        <v>849.20225854030537</v>
      </c>
      <c r="AW39" s="13">
        <f t="shared" si="2"/>
        <v>0.8565246855889953</v>
      </c>
    </row>
    <row r="40" spans="1:49" x14ac:dyDescent="0.35">
      <c r="A40" s="5">
        <v>270</v>
      </c>
      <c r="B40" s="5">
        <v>90</v>
      </c>
      <c r="C40" s="5">
        <v>300</v>
      </c>
      <c r="D40" s="5">
        <v>-2.244409427500702</v>
      </c>
      <c r="E40" s="5">
        <v>12.385705913551757</v>
      </c>
      <c r="F40" s="5">
        <v>7.597369685918637</v>
      </c>
      <c r="G40" s="5">
        <v>2.3512866773246404</v>
      </c>
      <c r="H40" s="5">
        <v>9.841735060640378</v>
      </c>
      <c r="I40" s="5">
        <v>0.52175709146494886</v>
      </c>
      <c r="J40" s="5">
        <v>9.6795022190163227</v>
      </c>
      <c r="K40" s="5">
        <v>2.8892642204699963</v>
      </c>
      <c r="L40" s="5">
        <v>-2.5008988141770012</v>
      </c>
      <c r="M40" s="5">
        <v>79.50154505886384</v>
      </c>
      <c r="N40" s="5">
        <v>0.85638384128827616</v>
      </c>
      <c r="O40" s="5">
        <v>13.891638333449846</v>
      </c>
      <c r="P40" s="5">
        <v>3.7424660429865955</v>
      </c>
      <c r="Q40" s="5">
        <v>119.48500579257016</v>
      </c>
      <c r="R40" s="5">
        <v>20.377685893146985</v>
      </c>
      <c r="S40" s="5">
        <v>9.4768204159714546</v>
      </c>
      <c r="T40" s="5">
        <v>2.7773740435180407</v>
      </c>
      <c r="U40" s="5">
        <v>71.013449148565968</v>
      </c>
      <c r="V40" s="5">
        <v>-0.96637173048558267</v>
      </c>
      <c r="W40" s="5">
        <v>198.98655085143406</v>
      </c>
      <c r="X40" s="5">
        <v>6.2428035263005013</v>
      </c>
      <c r="Y40" s="5">
        <v>56.133086309442547</v>
      </c>
      <c r="Z40" s="5">
        <v>-14.134554720570884</v>
      </c>
      <c r="AA40" s="5">
        <v>23.368458749421279</v>
      </c>
      <c r="AB40" s="5">
        <v>9.8417532843313609</v>
      </c>
      <c r="AC40" s="5">
        <v>0.98417532843313749</v>
      </c>
      <c r="AD40" s="5">
        <v>9.6795487675273382</v>
      </c>
      <c r="AE40" s="5">
        <v>0.96795487675273473</v>
      </c>
      <c r="AF40" s="5">
        <v>26.15213223103628</v>
      </c>
      <c r="AG40" s="5">
        <v>15.584407059019172</v>
      </c>
      <c r="AH40" s="5">
        <v>25.297046066144318</v>
      </c>
      <c r="AI40" s="5">
        <v>0.31272474393759658</v>
      </c>
      <c r="AJ40" s="5">
        <v>3.6669664180983171E-2</v>
      </c>
      <c r="AK40" s="5">
        <v>0.19608472916070843</v>
      </c>
      <c r="AL40" s="5">
        <v>0.86372017130830414</v>
      </c>
      <c r="AM40" s="5">
        <v>2.4978040346539387E-2</v>
      </c>
      <c r="AN40" s="5">
        <v>1.2851889471819582E-2</v>
      </c>
      <c r="AO40" s="5">
        <v>0.11594347270727016</v>
      </c>
      <c r="AP40" s="5">
        <v>2.8019935610120976</v>
      </c>
      <c r="AQ40" s="5">
        <v>9.6860107709647139</v>
      </c>
      <c r="AR40" s="5">
        <v>9.3693664342940011</v>
      </c>
      <c r="AS40" s="5">
        <v>2.7780841780095265</v>
      </c>
      <c r="AU40" s="12">
        <f t="shared" si="0"/>
        <v>90.453928833583802</v>
      </c>
      <c r="AV40" s="12">
        <f t="shared" si="1"/>
        <v>750.08272806257219</v>
      </c>
      <c r="AW40" s="13">
        <f t="shared" si="2"/>
        <v>0.87940806333826405</v>
      </c>
    </row>
    <row r="41" spans="1:49" x14ac:dyDescent="0.35">
      <c r="A41" s="5">
        <v>270</v>
      </c>
      <c r="B41" s="5">
        <v>90</v>
      </c>
      <c r="C41" s="5">
        <v>200</v>
      </c>
      <c r="D41" s="5">
        <v>-4.1775033469958691</v>
      </c>
      <c r="E41" s="5">
        <v>12.466703773663347</v>
      </c>
      <c r="F41" s="5">
        <v>4.9213757040129895</v>
      </c>
      <c r="G41" s="5">
        <v>1.6287682513291042</v>
      </c>
      <c r="H41" s="5">
        <v>9.0988328926670068</v>
      </c>
      <c r="I41" s="5">
        <v>0.51058124866451315</v>
      </c>
      <c r="J41" s="5">
        <v>7.518846152235926</v>
      </c>
      <c r="K41" s="5">
        <v>2.2973454584950059</v>
      </c>
      <c r="L41" s="5">
        <v>-2.2430956158937971</v>
      </c>
      <c r="M41" s="5">
        <v>79.556454130706967</v>
      </c>
      <c r="N41" s="5">
        <v>0.84635565757096098</v>
      </c>
      <c r="O41" s="5">
        <v>13.887170079071501</v>
      </c>
      <c r="P41" s="5">
        <v>3.2015136382459035</v>
      </c>
      <c r="Q41" s="5">
        <v>118.30787516813611</v>
      </c>
      <c r="R41" s="5">
        <v>17.464097207429806</v>
      </c>
      <c r="S41" s="5">
        <v>9.8752884285195801</v>
      </c>
      <c r="T41" s="5">
        <v>2.3586965771583435</v>
      </c>
      <c r="U41" s="5">
        <v>72.135670701156897</v>
      </c>
      <c r="V41" s="5">
        <v>-0.84407434767353595</v>
      </c>
      <c r="W41" s="5">
        <v>197.8643292988431</v>
      </c>
      <c r="X41" s="5">
        <v>5.4440513141834694</v>
      </c>
      <c r="Y41" s="5">
        <v>55.79399562311589</v>
      </c>
      <c r="Z41" s="5">
        <v>-12.019725577875182</v>
      </c>
      <c r="AA41" s="5">
        <v>23.762458507591059</v>
      </c>
      <c r="AB41" s="5">
        <v>9.0988505674363722</v>
      </c>
      <c r="AC41" s="5">
        <v>0.9098850567436404</v>
      </c>
      <c r="AD41" s="5">
        <v>7.5188909824224721</v>
      </c>
      <c r="AE41" s="5">
        <v>0.7518890982422477</v>
      </c>
      <c r="AF41" s="5">
        <v>22.352965202343345</v>
      </c>
      <c r="AG41" s="5">
        <v>6.5393834814133243</v>
      </c>
      <c r="AH41" s="5">
        <v>15.263922814468108</v>
      </c>
      <c r="AI41" s="5">
        <v>0.25157389710209865</v>
      </c>
      <c r="AJ41" s="5">
        <v>3.5815894955118686E-2</v>
      </c>
      <c r="AK41" s="5">
        <v>0.14349565406224329</v>
      </c>
      <c r="AL41" s="5">
        <v>0.63438895784275962</v>
      </c>
      <c r="AM41" s="5">
        <v>1.8014979472890335E-2</v>
      </c>
      <c r="AN41" s="5">
        <v>9.804827370083145E-3</v>
      </c>
      <c r="AO41" s="5">
        <v>8.8172141766601708E-2</v>
      </c>
      <c r="AP41" s="5">
        <v>2.0262450866181623</v>
      </c>
      <c r="AQ41" s="5">
        <v>8.2789081648537195</v>
      </c>
      <c r="AR41" s="5">
        <v>5.6533721605553975</v>
      </c>
      <c r="AS41" s="5">
        <v>2.3594179338653554</v>
      </c>
      <c r="AU41" s="12">
        <f t="shared" si="0"/>
        <v>61.296063262823843</v>
      </c>
      <c r="AV41" s="12">
        <f t="shared" si="1"/>
        <v>637.042842143646</v>
      </c>
      <c r="AW41" s="13">
        <f t="shared" si="2"/>
        <v>0.90378031239380552</v>
      </c>
    </row>
    <row r="42" spans="1:49" x14ac:dyDescent="0.35">
      <c r="A42" s="5">
        <v>270</v>
      </c>
      <c r="B42" s="5">
        <v>80</v>
      </c>
      <c r="C42" s="5">
        <v>500</v>
      </c>
      <c r="D42" s="5">
        <v>0.43517560890560975</v>
      </c>
      <c r="E42" s="5">
        <v>12.225150775538751</v>
      </c>
      <c r="F42" s="5">
        <v>11.816652822140179</v>
      </c>
      <c r="G42" s="5">
        <v>3.4904938052051637</v>
      </c>
      <c r="H42" s="5">
        <v>11.381447047289917</v>
      </c>
      <c r="I42" s="5">
        <v>0.56148894096197011</v>
      </c>
      <c r="J42" s="5">
        <v>13.248341714156844</v>
      </c>
      <c r="K42" s="5">
        <v>3.8652908254185823</v>
      </c>
      <c r="L42" s="5">
        <v>-3.5057289242357643</v>
      </c>
      <c r="M42" s="5">
        <v>79.442366853764199</v>
      </c>
      <c r="N42" s="5">
        <v>0.66173552187784757</v>
      </c>
      <c r="O42" s="5">
        <v>13.924785803610112</v>
      </c>
      <c r="P42" s="5">
        <v>4.6470765335862243</v>
      </c>
      <c r="Q42" s="5">
        <v>103.21673110700119</v>
      </c>
      <c r="R42" s="5">
        <v>25.291576471551164</v>
      </c>
      <c r="S42" s="5">
        <v>10.680501572821148</v>
      </c>
      <c r="T42" s="5">
        <v>3.1660410628889295</v>
      </c>
      <c r="U42" s="5">
        <v>87.340902039234578</v>
      </c>
      <c r="V42" s="5">
        <v>-1.4819886526565094</v>
      </c>
      <c r="W42" s="5">
        <v>182.65909796076539</v>
      </c>
      <c r="X42" s="5">
        <v>8.1522570870272144</v>
      </c>
      <c r="Y42" s="5">
        <v>54.837079477332942</v>
      </c>
      <c r="Z42" s="5">
        <v>-17.139017066602936</v>
      </c>
      <c r="AA42" s="5">
        <v>24.605287376431246</v>
      </c>
      <c r="AB42" s="5">
        <v>11.381460871093898</v>
      </c>
      <c r="AC42" s="5">
        <v>1.1381460871093905</v>
      </c>
      <c r="AD42" s="5">
        <v>13.248380078579423</v>
      </c>
      <c r="AE42" s="5">
        <v>1.324838007857942</v>
      </c>
      <c r="AF42" s="5">
        <v>34.975080960371386</v>
      </c>
      <c r="AG42" s="5">
        <v>37.700986658128237</v>
      </c>
      <c r="AH42" s="5">
        <v>47.390010707268445</v>
      </c>
      <c r="AI42" s="5">
        <v>0.61450676451116248</v>
      </c>
      <c r="AJ42" s="5">
        <v>2.1894695045747366E-2</v>
      </c>
      <c r="AK42" s="5">
        <v>0.3023344843261086</v>
      </c>
      <c r="AL42" s="5">
        <v>1.3305007880659465</v>
      </c>
      <c r="AM42" s="5">
        <v>3.2458070895672507E-2</v>
      </c>
      <c r="AN42" s="5">
        <v>3.0225138854674649E-2</v>
      </c>
      <c r="AO42" s="5">
        <v>0.19771640444863167</v>
      </c>
      <c r="AP42" s="5">
        <v>4.1197863317805261</v>
      </c>
      <c r="AQ42" s="5">
        <v>12.953765156024147</v>
      </c>
      <c r="AR42" s="5">
        <v>17.551957470650013</v>
      </c>
      <c r="AS42" s="5">
        <v>3.1669144719093225</v>
      </c>
      <c r="AU42" s="12">
        <f t="shared" si="0"/>
        <v>157.2212236303707</v>
      </c>
      <c r="AV42" s="12">
        <f t="shared" si="1"/>
        <v>855.06690741551711</v>
      </c>
      <c r="AW42" s="13">
        <f t="shared" si="2"/>
        <v>0.81612991654000533</v>
      </c>
    </row>
    <row r="43" spans="1:49" x14ac:dyDescent="0.35">
      <c r="A43" s="5">
        <v>270</v>
      </c>
      <c r="B43" s="5">
        <v>80</v>
      </c>
      <c r="C43" s="5">
        <v>400</v>
      </c>
      <c r="D43" s="5">
        <v>-1.0768381300840755</v>
      </c>
      <c r="E43" s="5">
        <v>12.271015024764347</v>
      </c>
      <c r="F43" s="5">
        <v>9.8047120525662219</v>
      </c>
      <c r="G43" s="5">
        <v>2.9472690974352469</v>
      </c>
      <c r="H43" s="5">
        <v>10.881509221995151</v>
      </c>
      <c r="I43" s="5">
        <v>0.53696630317068139</v>
      </c>
      <c r="J43" s="5">
        <v>11.59963855422296</v>
      </c>
      <c r="K43" s="5">
        <v>3.4124194605646054</v>
      </c>
      <c r="L43" s="5">
        <v>-2.8525609883816028</v>
      </c>
      <c r="M43" s="5">
        <v>79.454110067309344</v>
      </c>
      <c r="N43" s="5">
        <v>0.85107799234310977</v>
      </c>
      <c r="O43" s="5">
        <v>13.89613403477315</v>
      </c>
      <c r="P43" s="5">
        <v>4.3195556427752173</v>
      </c>
      <c r="Q43" s="5">
        <v>119.38819534397147</v>
      </c>
      <c r="R43" s="5">
        <v>23.332291529518773</v>
      </c>
      <c r="S43" s="5">
        <v>9.5356806986584068</v>
      </c>
      <c r="T43" s="5">
        <v>3.2011807677948414</v>
      </c>
      <c r="U43" s="5">
        <v>71.157694588719139</v>
      </c>
      <c r="V43" s="5">
        <v>-1.1196517210886006</v>
      </c>
      <c r="W43" s="5">
        <v>198.84230541128088</v>
      </c>
      <c r="X43" s="5">
        <v>7.171556408203478</v>
      </c>
      <c r="Y43" s="5">
        <v>56.022295333877793</v>
      </c>
      <c r="Z43" s="5">
        <v>-16.160409216509287</v>
      </c>
      <c r="AA43" s="5">
        <v>23.431814733431537</v>
      </c>
      <c r="AB43" s="5">
        <v>10.881527068381224</v>
      </c>
      <c r="AC43" s="5">
        <v>1.0881527068381216</v>
      </c>
      <c r="AD43" s="5">
        <v>11.599686468794458</v>
      </c>
      <c r="AE43" s="5">
        <v>1.1599686468794466</v>
      </c>
      <c r="AF43" s="5">
        <v>31.969955596058689</v>
      </c>
      <c r="AG43" s="5">
        <v>25.95574217710908</v>
      </c>
      <c r="AH43" s="5">
        <v>36.328935938926243</v>
      </c>
      <c r="AI43" s="5">
        <v>0.4068552096218313</v>
      </c>
      <c r="AJ43" s="5">
        <v>3.621668745253892E-2</v>
      </c>
      <c r="AK43" s="5">
        <v>0.26121985331443709</v>
      </c>
      <c r="AL43" s="5">
        <v>1.1323433222783832</v>
      </c>
      <c r="AM43" s="5">
        <v>3.3182569759560514E-2</v>
      </c>
      <c r="AN43" s="5">
        <v>1.7252198724718872E-2</v>
      </c>
      <c r="AO43" s="5">
        <v>0.15300788341523203</v>
      </c>
      <c r="AP43" s="5">
        <v>3.6627525352816619</v>
      </c>
      <c r="AQ43" s="5">
        <v>11.840763133991329</v>
      </c>
      <c r="AR43" s="5">
        <v>13.455272617433323</v>
      </c>
      <c r="AS43" s="5">
        <v>3.2018923447407284</v>
      </c>
      <c r="AU43" s="12">
        <f t="shared" si="0"/>
        <v>125.25349972336704</v>
      </c>
      <c r="AV43" s="12">
        <f t="shared" si="1"/>
        <v>864.51093307999668</v>
      </c>
      <c r="AW43" s="13">
        <f t="shared" si="2"/>
        <v>0.8551163496832529</v>
      </c>
    </row>
    <row r="44" spans="1:49" x14ac:dyDescent="0.35">
      <c r="A44" s="5">
        <v>270</v>
      </c>
      <c r="B44" s="5">
        <v>80</v>
      </c>
      <c r="C44" s="5">
        <v>300</v>
      </c>
      <c r="D44" s="5">
        <v>-2.8491302694271958</v>
      </c>
      <c r="E44" s="5">
        <v>12.326641151230922</v>
      </c>
      <c r="F44" s="5">
        <v>7.4809551916565278</v>
      </c>
      <c r="G44" s="5">
        <v>2.3198547889318477</v>
      </c>
      <c r="H44" s="5">
        <v>10.3300414913904</v>
      </c>
      <c r="I44" s="5">
        <v>0.53018051019461121</v>
      </c>
      <c r="J44" s="5">
        <v>9.7483393605546986</v>
      </c>
      <c r="K44" s="5">
        <v>2.9082025990037219</v>
      </c>
      <c r="L44" s="5">
        <v>-2.5110783388842965</v>
      </c>
      <c r="M44" s="5">
        <v>79.502019800178971</v>
      </c>
      <c r="N44" s="5">
        <v>0.86250546647151716</v>
      </c>
      <c r="O44" s="5">
        <v>13.889827592939783</v>
      </c>
      <c r="P44" s="5">
        <v>3.8471134414276227</v>
      </c>
      <c r="Q44" s="5">
        <v>120.12463573228136</v>
      </c>
      <c r="R44" s="5">
        <v>20.94095109798392</v>
      </c>
      <c r="S44" s="5">
        <v>9.2442682882451415</v>
      </c>
      <c r="T44" s="5">
        <v>2.871336301741767</v>
      </c>
      <c r="U44" s="5">
        <v>70.373344467539681</v>
      </c>
      <c r="V44" s="5">
        <v>-0.97706967279650403</v>
      </c>
      <c r="W44" s="5">
        <v>199.62665553246032</v>
      </c>
      <c r="X44" s="5">
        <v>6.357628101072728</v>
      </c>
      <c r="Y44" s="5">
        <v>56.367923918994045</v>
      </c>
      <c r="Z44" s="5">
        <v>-14.582990658630816</v>
      </c>
      <c r="AA44" s="5">
        <v>23.134095881184908</v>
      </c>
      <c r="AB44" s="5">
        <v>10.330059315142492</v>
      </c>
      <c r="AC44" s="5">
        <v>1.0330059315142504</v>
      </c>
      <c r="AD44" s="5">
        <v>9.7483863163698992</v>
      </c>
      <c r="AE44" s="5">
        <v>0.9748386316369908</v>
      </c>
      <c r="AF44" s="5">
        <v>28.811634447738744</v>
      </c>
      <c r="AG44" s="5">
        <v>15.110466456484644</v>
      </c>
      <c r="AH44" s="5">
        <v>25.658132477905799</v>
      </c>
      <c r="AI44" s="5">
        <v>0.31527572120069591</v>
      </c>
      <c r="AJ44" s="5">
        <v>3.7195783984662473E-2</v>
      </c>
      <c r="AK44" s="5">
        <v>0.20720394563698322</v>
      </c>
      <c r="AL44" s="5">
        <v>0.91212874040736014</v>
      </c>
      <c r="AM44" s="5">
        <v>2.6696709843981235E-2</v>
      </c>
      <c r="AN44" s="5">
        <v>1.3138010811862614E-2</v>
      </c>
      <c r="AO44" s="5">
        <v>0.12024781933786013</v>
      </c>
      <c r="AP44" s="5">
        <v>2.9826072221097339</v>
      </c>
      <c r="AQ44" s="5">
        <v>10.671012545436218</v>
      </c>
      <c r="AR44" s="5">
        <v>9.5031035773187895</v>
      </c>
      <c r="AS44" s="5">
        <v>2.8720400351864419</v>
      </c>
      <c r="AU44" s="12">
        <f t="shared" si="0"/>
        <v>94.368843458217299</v>
      </c>
      <c r="AV44" s="12">
        <f t="shared" si="1"/>
        <v>775.45080950033935</v>
      </c>
      <c r="AW44" s="13">
        <f t="shared" si="2"/>
        <v>0.87830453936978448</v>
      </c>
    </row>
    <row r="45" spans="1:49" x14ac:dyDescent="0.35">
      <c r="A45" s="5">
        <v>270</v>
      </c>
      <c r="B45" s="5">
        <v>80</v>
      </c>
      <c r="C45" s="5">
        <v>200</v>
      </c>
      <c r="D45" s="5">
        <v>-4.9696494315616659</v>
      </c>
      <c r="E45" s="5">
        <v>12.394397305964596</v>
      </c>
      <c r="F45" s="5">
        <v>4.781502445720089</v>
      </c>
      <c r="G45" s="5">
        <v>1.5910025253441351</v>
      </c>
      <c r="H45" s="5">
        <v>9.7511042295329222</v>
      </c>
      <c r="I45" s="5">
        <v>0.52119138363839934</v>
      </c>
      <c r="J45" s="5">
        <v>7.6190717297410488</v>
      </c>
      <c r="K45" s="5">
        <v>2.3253944247259319</v>
      </c>
      <c r="L45" s="5">
        <v>-2.2399883315385458</v>
      </c>
      <c r="M45" s="5">
        <v>79.562519686675998</v>
      </c>
      <c r="N45" s="5">
        <v>0.85679511381023166</v>
      </c>
      <c r="O45" s="5">
        <v>13.890700963395092</v>
      </c>
      <c r="P45" s="5">
        <v>3.3448932945584442</v>
      </c>
      <c r="Q45" s="5">
        <v>119.33927125533856</v>
      </c>
      <c r="R45" s="5">
        <v>18.227035432218134</v>
      </c>
      <c r="S45" s="5">
        <v>9.478006544212958</v>
      </c>
      <c r="T45" s="5">
        <v>2.4820604103602228</v>
      </c>
      <c r="U45" s="5">
        <v>71.098209057985429</v>
      </c>
      <c r="V45" s="5">
        <v>-0.86411092001706169</v>
      </c>
      <c r="W45" s="5">
        <v>198.90179094201457</v>
      </c>
      <c r="X45" s="5">
        <v>5.5843196879751984</v>
      </c>
      <c r="Y45" s="5">
        <v>56.193812179067947</v>
      </c>
      <c r="Z45" s="5">
        <v>-12.642387493196219</v>
      </c>
      <c r="AA45" s="5">
        <v>23.368707507608029</v>
      </c>
      <c r="AB45" s="5">
        <v>9.7511227379209462</v>
      </c>
      <c r="AC45" s="5">
        <v>0.97511227379209742</v>
      </c>
      <c r="AD45" s="5">
        <v>7.6191175804869564</v>
      </c>
      <c r="AE45" s="5">
        <v>0.76191175804869615</v>
      </c>
      <c r="AF45" s="5">
        <v>25.672689097708009</v>
      </c>
      <c r="AG45" s="5">
        <v>6.1729467223753423</v>
      </c>
      <c r="AH45" s="5">
        <v>15.6735685861936</v>
      </c>
      <c r="AI45" s="5">
        <v>0.2508773862714419</v>
      </c>
      <c r="AJ45" s="5">
        <v>3.6704893352454394E-2</v>
      </c>
      <c r="AK45" s="5">
        <v>0.15663635612774862</v>
      </c>
      <c r="AL45" s="5">
        <v>0.69102762694645736</v>
      </c>
      <c r="AM45" s="5">
        <v>1.9948686851717808E-2</v>
      </c>
      <c r="AN45" s="5">
        <v>1.0275844767847609E-2</v>
      </c>
      <c r="AO45" s="5">
        <v>9.2774263473084567E-2</v>
      </c>
      <c r="AP45" s="5">
        <v>2.2416152104319416</v>
      </c>
      <c r="AQ45" s="5">
        <v>9.5084394649998885</v>
      </c>
      <c r="AR45" s="5">
        <v>5.8050952705285415</v>
      </c>
      <c r="AS45" s="5">
        <v>2.4827713924508017</v>
      </c>
      <c r="AU45" s="12">
        <f t="shared" si="0"/>
        <v>66.332599410028081</v>
      </c>
      <c r="AV45" s="12">
        <f t="shared" si="1"/>
        <v>670.34827596171647</v>
      </c>
      <c r="AW45" s="13">
        <f t="shared" si="2"/>
        <v>0.90104755723453756</v>
      </c>
    </row>
    <row r="46" spans="1:49" x14ac:dyDescent="0.35">
      <c r="A46" s="5">
        <v>270</v>
      </c>
      <c r="B46" s="5">
        <v>70</v>
      </c>
      <c r="C46" s="5">
        <v>500</v>
      </c>
      <c r="D46" s="5">
        <v>-2.6952498402219832E-2</v>
      </c>
      <c r="E46" s="5">
        <v>12.175267985869457</v>
      </c>
      <c r="F46" s="5">
        <v>11.714727177111758</v>
      </c>
      <c r="G46" s="5">
        <v>3.4629738703273509</v>
      </c>
      <c r="H46" s="5">
        <v>11.741658351355715</v>
      </c>
      <c r="I46" s="5">
        <v>0.5669082238956743</v>
      </c>
      <c r="J46" s="5">
        <v>13.28609922749567</v>
      </c>
      <c r="K46" s="5">
        <v>3.8754361647336539</v>
      </c>
      <c r="L46" s="5">
        <v>-4.5834563377557442</v>
      </c>
      <c r="M46" s="5">
        <v>79.384428133911641</v>
      </c>
      <c r="N46" s="5">
        <v>0.49049334293909974</v>
      </c>
      <c r="O46" s="5">
        <v>13.916343069714156</v>
      </c>
      <c r="P46" s="5">
        <v>4.6845741911971528</v>
      </c>
      <c r="Q46" s="5">
        <v>112.65771974440852</v>
      </c>
      <c r="R46" s="5">
        <v>25.518289836813366</v>
      </c>
      <c r="S46" s="5">
        <v>14.168643183460173</v>
      </c>
      <c r="T46" s="5">
        <v>3.3738247792590057</v>
      </c>
      <c r="U46" s="5">
        <v>77.957852121679849</v>
      </c>
      <c r="V46" s="5">
        <v>-1.3118902548957123</v>
      </c>
      <c r="W46" s="5">
        <v>192.04214787832015</v>
      </c>
      <c r="X46" s="5">
        <v>9.2675175345340914</v>
      </c>
      <c r="Y46" s="5">
        <v>51.299441880737298</v>
      </c>
      <c r="Z46" s="5">
        <v>-16.250540157723002</v>
      </c>
      <c r="AA46" s="5">
        <v>28.084986253174325</v>
      </c>
      <c r="AB46" s="5">
        <v>11.74166859949028</v>
      </c>
      <c r="AC46" s="5">
        <v>1.1741668599490289</v>
      </c>
      <c r="AD46" s="5">
        <v>13.286127894383988</v>
      </c>
      <c r="AE46" s="5">
        <v>1.328612789438399</v>
      </c>
      <c r="AF46" s="5">
        <v>37.223966026789583</v>
      </c>
      <c r="AG46" s="5">
        <v>37.05340486522342</v>
      </c>
      <c r="AH46" s="5">
        <v>47.660516824372486</v>
      </c>
      <c r="AI46" s="5">
        <v>1.0504036000056649</v>
      </c>
      <c r="AJ46" s="5">
        <v>1.2029185973378667E-2</v>
      </c>
      <c r="AK46" s="5">
        <v>0.30723329493962642</v>
      </c>
      <c r="AL46" s="5">
        <v>1.3544608816868735</v>
      </c>
      <c r="AM46" s="5">
        <v>3.6858246076079106E-2</v>
      </c>
      <c r="AN46" s="5">
        <v>2.3685009324633688E-2</v>
      </c>
      <c r="AO46" s="5">
        <v>0.2555134717273681</v>
      </c>
      <c r="AP46" s="5">
        <v>3.7037227772341956</v>
      </c>
      <c r="AQ46" s="5">
        <v>13.786678150025606</v>
      </c>
      <c r="AR46" s="5">
        <v>17.652119442592831</v>
      </c>
      <c r="AS46" s="5">
        <v>3.3746043577802229</v>
      </c>
      <c r="AU46" s="12">
        <f t="shared" si="0"/>
        <v>160.12059177597175</v>
      </c>
      <c r="AV46" s="12">
        <f t="shared" si="1"/>
        <v>911.14317660066024</v>
      </c>
      <c r="AW46" s="13">
        <f t="shared" si="2"/>
        <v>0.8242640718955303</v>
      </c>
    </row>
    <row r="47" spans="1:49" x14ac:dyDescent="0.35">
      <c r="A47" s="5">
        <v>270</v>
      </c>
      <c r="B47" s="5">
        <v>70</v>
      </c>
      <c r="C47" s="5">
        <v>400</v>
      </c>
      <c r="D47" s="5">
        <v>-1.6849303602864121</v>
      </c>
      <c r="E47" s="5">
        <v>12.215941146244278</v>
      </c>
      <c r="F47" s="5">
        <v>9.6857324619939948</v>
      </c>
      <c r="G47" s="5">
        <v>2.9151445979074526</v>
      </c>
      <c r="H47" s="5">
        <v>11.370627229119739</v>
      </c>
      <c r="I47" s="5">
        <v>0.54514205649902869</v>
      </c>
      <c r="J47" s="5">
        <v>11.665935510706188</v>
      </c>
      <c r="K47" s="5">
        <v>3.4307526665411356</v>
      </c>
      <c r="L47" s="5">
        <v>-2.9708978167442397</v>
      </c>
      <c r="M47" s="5">
        <v>79.39404046045091</v>
      </c>
      <c r="N47" s="5">
        <v>0.84456178409910843</v>
      </c>
      <c r="O47" s="5">
        <v>13.898147270940751</v>
      </c>
      <c r="P47" s="5">
        <v>4.3912263961111355</v>
      </c>
      <c r="Q47" s="5">
        <v>119.65065093769999</v>
      </c>
      <c r="R47" s="5">
        <v>23.881183026701461</v>
      </c>
      <c r="S47" s="5">
        <v>9.6142811003348072</v>
      </c>
      <c r="T47" s="5">
        <v>3.2791691625109309</v>
      </c>
      <c r="U47" s="5">
        <v>70.955308601849097</v>
      </c>
      <c r="V47" s="5">
        <v>-1.1133381274281655</v>
      </c>
      <c r="W47" s="5">
        <v>199.04469139815089</v>
      </c>
      <c r="X47" s="5">
        <v>7.3615653967344823</v>
      </c>
      <c r="Y47" s="5">
        <v>55.881612089175356</v>
      </c>
      <c r="Z47" s="5">
        <v>-16.519293938129799</v>
      </c>
      <c r="AA47" s="5">
        <v>23.51242837127554</v>
      </c>
      <c r="AB47" s="5">
        <v>11.370640681974461</v>
      </c>
      <c r="AC47" s="5">
        <v>1.1370640681974451</v>
      </c>
      <c r="AD47" s="5">
        <v>11.66598056062791</v>
      </c>
      <c r="AE47" s="5">
        <v>1.1665980560627918</v>
      </c>
      <c r="AF47" s="5">
        <v>34.908614167571791</v>
      </c>
      <c r="AG47" s="5">
        <v>25.329621597837548</v>
      </c>
      <c r="AH47" s="5">
        <v>36.745393861788031</v>
      </c>
      <c r="AI47" s="5">
        <v>0.44131169187678454</v>
      </c>
      <c r="AJ47" s="5">
        <v>3.5664230358033448E-2</v>
      </c>
      <c r="AK47" s="5">
        <v>0.26996016966664466</v>
      </c>
      <c r="AL47" s="5">
        <v>1.1862466777300129</v>
      </c>
      <c r="AM47" s="5">
        <v>3.4819077473936172E-2</v>
      </c>
      <c r="AN47" s="5">
        <v>1.7058180769035165E-2</v>
      </c>
      <c r="AO47" s="5">
        <v>0.16122311914393558</v>
      </c>
      <c r="AP47" s="5">
        <v>3.8272411878060049</v>
      </c>
      <c r="AQ47" s="5">
        <v>12.929146951857263</v>
      </c>
      <c r="AR47" s="5">
        <v>13.609510244094828</v>
      </c>
      <c r="AS47" s="5">
        <v>3.2798787155969502</v>
      </c>
      <c r="AU47" s="12">
        <f t="shared" si="0"/>
        <v>129.49581115797389</v>
      </c>
      <c r="AV47" s="12">
        <f t="shared" si="1"/>
        <v>885.56725321117653</v>
      </c>
      <c r="AW47" s="13">
        <f t="shared" si="2"/>
        <v>0.85377077721832417</v>
      </c>
    </row>
    <row r="48" spans="1:49" x14ac:dyDescent="0.35">
      <c r="A48" s="5">
        <v>270</v>
      </c>
      <c r="B48" s="5">
        <v>70</v>
      </c>
      <c r="C48" s="5">
        <v>300</v>
      </c>
      <c r="D48" s="5">
        <v>-3.5108367526498125</v>
      </c>
      <c r="E48" s="5">
        <v>12.263646123017654</v>
      </c>
      <c r="F48" s="5">
        <v>7.3547428797716554</v>
      </c>
      <c r="G48" s="5">
        <v>2.2857774671506368</v>
      </c>
      <c r="H48" s="5">
        <v>10.865538922379594</v>
      </c>
      <c r="I48" s="5">
        <v>0.54012915484478763</v>
      </c>
      <c r="J48" s="5">
        <v>9.8247634767233514</v>
      </c>
      <c r="K48" s="5">
        <v>2.9299811344525941</v>
      </c>
      <c r="L48" s="5">
        <v>-2.6159667769032278</v>
      </c>
      <c r="M48" s="5">
        <v>79.466823465110537</v>
      </c>
      <c r="N48" s="5">
        <v>0.86017806542796793</v>
      </c>
      <c r="O48" s="5">
        <v>13.890330667855315</v>
      </c>
      <c r="P48" s="5">
        <v>3.9325902908862003</v>
      </c>
      <c r="Q48" s="5">
        <v>120.47456259601506</v>
      </c>
      <c r="R48" s="5">
        <v>21.550540740713853</v>
      </c>
      <c r="S48" s="5">
        <v>9.2532031467831679</v>
      </c>
      <c r="T48" s="5">
        <v>2.94811150713323</v>
      </c>
      <c r="U48" s="5">
        <v>70.058613938874416</v>
      </c>
      <c r="V48" s="5">
        <v>-0.98577761147419241</v>
      </c>
      <c r="W48" s="5">
        <v>199.94138606112557</v>
      </c>
      <c r="X48" s="5">
        <v>6.5479938348929219</v>
      </c>
      <c r="Y48" s="5">
        <v>56.323289650472077</v>
      </c>
      <c r="Z48" s="5">
        <v>-15.002215108262572</v>
      </c>
      <c r="AA48" s="5">
        <v>23.143533814638463</v>
      </c>
      <c r="AB48" s="5">
        <v>10.865553899928756</v>
      </c>
      <c r="AC48" s="5">
        <v>1.086555389992877</v>
      </c>
      <c r="AD48" s="5">
        <v>9.8248087753571145</v>
      </c>
      <c r="AE48" s="5">
        <v>0.98248087753571189</v>
      </c>
      <c r="AF48" s="5">
        <v>31.876182739911396</v>
      </c>
      <c r="AG48" s="5">
        <v>14.604905563439004</v>
      </c>
      <c r="AH48" s="5">
        <v>26.06201389086042</v>
      </c>
      <c r="AI48" s="5">
        <v>0.34216410889307314</v>
      </c>
      <c r="AJ48" s="5">
        <v>3.6995315212170074E-2</v>
      </c>
      <c r="AK48" s="5">
        <v>0.21651372954361373</v>
      </c>
      <c r="AL48" s="5">
        <v>0.96600567693170847</v>
      </c>
      <c r="AM48" s="5">
        <v>2.8143456151305368E-2</v>
      </c>
      <c r="AN48" s="5">
        <v>1.3373234156809896E-2</v>
      </c>
      <c r="AO48" s="5">
        <v>0.12755676420384224</v>
      </c>
      <c r="AP48" s="5">
        <v>3.1565570756180095</v>
      </c>
      <c r="AQ48" s="5">
        <v>11.8060261552257</v>
      </c>
      <c r="AR48" s="5">
        <v>9.6526867472334175</v>
      </c>
      <c r="AS48" s="5">
        <v>2.9488120932726192</v>
      </c>
      <c r="AU48" s="12">
        <f t="shared" si="0"/>
        <v>98.88912445738049</v>
      </c>
      <c r="AV48" s="12">
        <f t="shared" si="1"/>
        <v>796.17926518360719</v>
      </c>
      <c r="AW48" s="13">
        <f t="shared" si="2"/>
        <v>0.87579540339501849</v>
      </c>
    </row>
    <row r="49" spans="1:49" x14ac:dyDescent="0.35">
      <c r="A49" s="5">
        <v>270</v>
      </c>
      <c r="B49" s="5">
        <v>70</v>
      </c>
      <c r="C49" s="5">
        <v>200</v>
      </c>
      <c r="D49" s="5">
        <v>-5.7142716974943992</v>
      </c>
      <c r="E49" s="5">
        <v>12.322696790395471</v>
      </c>
      <c r="F49" s="5">
        <v>4.6480393597757406</v>
      </c>
      <c r="G49" s="5">
        <v>1.5549674907705111</v>
      </c>
      <c r="H49" s="5">
        <v>10.362262944431178</v>
      </c>
      <c r="I49" s="5">
        <v>0.53123939321282376</v>
      </c>
      <c r="J49" s="5">
        <v>7.7115963411717656</v>
      </c>
      <c r="K49" s="5">
        <v>2.3512708286231372</v>
      </c>
      <c r="L49" s="5">
        <v>-2.3131591038744284</v>
      </c>
      <c r="M49" s="5">
        <v>79.548147518537817</v>
      </c>
      <c r="N49" s="5">
        <v>0.85835101262197588</v>
      </c>
      <c r="O49" s="5">
        <v>13.890164368191861</v>
      </c>
      <c r="P49" s="5">
        <v>3.4961161133355492</v>
      </c>
      <c r="Q49" s="5">
        <v>119.39195503071096</v>
      </c>
      <c r="R49" s="5">
        <v>18.932275257895235</v>
      </c>
      <c r="S49" s="5">
        <v>9.4880775623688187</v>
      </c>
      <c r="T49" s="5">
        <v>2.5863498009535015</v>
      </c>
      <c r="U49" s="5">
        <v>71.059897450751194</v>
      </c>
      <c r="V49" s="5">
        <v>-0.91104511443303327</v>
      </c>
      <c r="W49" s="5">
        <v>198.94010254924882</v>
      </c>
      <c r="X49" s="5">
        <v>5.8087135181540983</v>
      </c>
      <c r="Y49" s="5">
        <v>56.169905587977162</v>
      </c>
      <c r="Z49" s="5">
        <v>-13.123233823104561</v>
      </c>
      <c r="AA49" s="5">
        <v>23.378241930560662</v>
      </c>
      <c r="AB49" s="5">
        <v>10.362281845835644</v>
      </c>
      <c r="AC49" s="5">
        <v>1.0362281845835675</v>
      </c>
      <c r="AD49" s="5">
        <v>7.7116423994376095</v>
      </c>
      <c r="AE49" s="5">
        <v>0.77116423994376138</v>
      </c>
      <c r="AF49" s="5">
        <v>28.991653198973509</v>
      </c>
      <c r="AG49" s="5">
        <v>5.8331528703066091</v>
      </c>
      <c r="AH49" s="5">
        <v>16.056553894876917</v>
      </c>
      <c r="AI49" s="5">
        <v>0.2675352519918574</v>
      </c>
      <c r="AJ49" s="5">
        <v>3.6838323043458569E-2</v>
      </c>
      <c r="AK49" s="5">
        <v>0.17111959029094254</v>
      </c>
      <c r="AL49" s="5">
        <v>0.74553657659668104</v>
      </c>
      <c r="AM49" s="5">
        <v>2.1660283805555753E-2</v>
      </c>
      <c r="AN49" s="5">
        <v>1.1422424997801637E-2</v>
      </c>
      <c r="AO49" s="5">
        <v>0.10037992938955884</v>
      </c>
      <c r="AP49" s="5">
        <v>2.4153752053116548</v>
      </c>
      <c r="AQ49" s="5">
        <v>10.737688505253498</v>
      </c>
      <c r="AR49" s="5">
        <v>5.9469428496803856</v>
      </c>
      <c r="AS49" s="5">
        <v>2.5870603999280086</v>
      </c>
      <c r="AU49" s="12">
        <f t="shared" si="0"/>
        <v>71.335858904518432</v>
      </c>
      <c r="AV49" s="12">
        <f t="shared" si="1"/>
        <v>698.50630798056238</v>
      </c>
      <c r="AW49" s="13">
        <f t="shared" si="2"/>
        <v>0.89787370838388547</v>
      </c>
    </row>
    <row r="64" spans="1:49" x14ac:dyDescent="0.35">
      <c r="AO6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Izak Durand</dc:creator>
  <cp:lastModifiedBy>Izak Durand</cp:lastModifiedBy>
  <dcterms:created xsi:type="dcterms:W3CDTF">2015-06-05T18:17:20Z</dcterms:created>
  <dcterms:modified xsi:type="dcterms:W3CDTF">2025-11-18T19:33:21Z</dcterms:modified>
</cp:coreProperties>
</file>